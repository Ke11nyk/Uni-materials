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heckCompatibility="1" defaultThemeVersion="124226"/>
  <bookViews>
    <workbookView xWindow="-108" yWindow="-108" windowWidth="19416" windowHeight="10416"/>
  </bookViews>
  <sheets>
    <sheet name="квота" sheetId="4" r:id="rId1"/>
  </sheets>
  <definedNames>
    <definedName name="solver_adj" localSheetId="0" hidden="1">квота!$M$5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квота!$M$6</definedName>
    <definedName name="solver_pre" localSheetId="0" hidden="1">0.000001</definedName>
    <definedName name="solver_rbv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4" l="1"/>
  <c r="P4" i="4"/>
  <c r="M4" i="4"/>
  <c r="M3" i="4"/>
  <c r="E5" i="4"/>
  <c r="E6" i="4"/>
  <c r="E7" i="4"/>
  <c r="E8" i="4"/>
  <c r="E9" i="4"/>
  <c r="E10" i="4"/>
  <c r="E11" i="4"/>
  <c r="D5" i="4"/>
  <c r="D6" i="4"/>
  <c r="D7" i="4"/>
  <c r="D8" i="4"/>
  <c r="D9" i="4"/>
  <c r="D10" i="4"/>
  <c r="D11" i="4"/>
  <c r="E4" i="4"/>
  <c r="D4" i="4"/>
  <c r="J3" i="4"/>
  <c r="J11" i="4"/>
  <c r="J14" i="4" s="1"/>
  <c r="M14" i="4" l="1"/>
  <c r="F5" i="4"/>
  <c r="F6" i="4"/>
  <c r="F7" i="4"/>
  <c r="F8" i="4"/>
  <c r="F9" i="4"/>
  <c r="F10" i="4"/>
  <c r="F11" i="4"/>
  <c r="F4" i="4"/>
  <c r="J4" i="4" l="1"/>
  <c r="M11" i="4" l="1"/>
  <c r="N11" i="4" s="1"/>
  <c r="J6" i="4"/>
  <c r="M6" i="4"/>
  <c r="O7" i="4" l="1"/>
</calcChain>
</file>

<file path=xl/sharedStrings.xml><?xml version="1.0" encoding="utf-8"?>
<sst xmlns="http://schemas.openxmlformats.org/spreadsheetml/2006/main" count="33" uniqueCount="29">
  <si>
    <t>Подбор параметра</t>
  </si>
  <si>
    <t>Price</t>
  </si>
  <si>
    <t>Demand</t>
  </si>
  <si>
    <t>Supply</t>
  </si>
  <si>
    <t>Func_dem</t>
  </si>
  <si>
    <t>Func_sup</t>
  </si>
  <si>
    <t>Поиск решения (Solver)</t>
  </si>
  <si>
    <t>Q*d</t>
  </si>
  <si>
    <t>Q*s</t>
  </si>
  <si>
    <t>P*</t>
  </si>
  <si>
    <t>Q*d-Q*s</t>
  </si>
  <si>
    <t>Рівноважна точка</t>
  </si>
  <si>
    <t>Ed</t>
  </si>
  <si>
    <t>Es</t>
  </si>
  <si>
    <t xml:space="preserve">Маємо результати спостережень за зміною величин попиту та пропозиції на ринку деякого товару
1. За цими даними знайти аналітичний вигляд функцій для попиту та пропозиції.
2. Побудувати знайдені функції в осях (Q,P). знайти точку ринкової рівноваги і нанести її на графік. Дослідити стан рівноваги на стабільність.
3. З’ясувати та графічно відобразити (на графіку з п.2), як зміняться параметри ринкової рівноваги після введення: податку, субсидії для виробника/споживача або квоти.
</t>
  </si>
  <si>
    <t>Еластичність</t>
  </si>
  <si>
    <t>Пункт 2</t>
  </si>
  <si>
    <t>Пункт3</t>
  </si>
  <si>
    <t>P**</t>
  </si>
  <si>
    <t>Q**d</t>
  </si>
  <si>
    <t>Q**d-Q**s</t>
  </si>
  <si>
    <t>Qlim</t>
  </si>
  <si>
    <t>Sup=Qlim</t>
  </si>
  <si>
    <t>Рівноважна точка після введення квоти</t>
  </si>
  <si>
    <t>квота</t>
  </si>
  <si>
    <t>Qs=Qlim</t>
  </si>
  <si>
    <t>Кількість товару (ситуація на ринку)</t>
  </si>
  <si>
    <t>Q**s=Qlim</t>
  </si>
  <si>
    <t>Зростання ціни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</si>
</sst>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4" borderId="5" xfId="0" applyFont="1" applyFill="1" applyBorder="1"/>
    <xf numFmtId="0" fontId="1" fillId="2" borderId="5" xfId="0" applyFont="1" applyFill="1" applyBorder="1"/>
    <xf numFmtId="0" fontId="1" fillId="0" borderId="14" xfId="0" applyFont="1" applyFill="1" applyBorder="1"/>
    <xf numFmtId="0" fontId="1" fillId="0" borderId="1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2" fontId="1" fillId="0" borderId="5" xfId="0" applyNumberFormat="1" applyFont="1" applyBorder="1"/>
    <xf numFmtId="0" fontId="1" fillId="0" borderId="15" xfId="0" applyFont="1" applyBorder="1"/>
    <xf numFmtId="0" fontId="1" fillId="0" borderId="15" xfId="0" applyFont="1" applyFill="1" applyBorder="1"/>
    <xf numFmtId="0" fontId="1" fillId="0" borderId="0" xfId="0" applyFont="1" applyFill="1"/>
    <xf numFmtId="0" fontId="1" fillId="0" borderId="0" xfId="0" applyFont="1" applyBorder="1"/>
    <xf numFmtId="0" fontId="1" fillId="2" borderId="0" xfId="0" applyFont="1" applyFill="1" applyBorder="1"/>
    <xf numFmtId="0" fontId="1" fillId="2" borderId="0" xfId="0" applyFont="1" applyFill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0" xfId="0" applyFont="1" applyAlignment="1">
      <alignment horizontal="left"/>
    </xf>
    <xf numFmtId="0" fontId="1" fillId="5" borderId="14" xfId="0" applyFont="1" applyFill="1" applyBorder="1"/>
    <xf numFmtId="0" fontId="1" fillId="5" borderId="0" xfId="0" applyFont="1" applyFill="1" applyBorder="1"/>
    <xf numFmtId="0" fontId="0" fillId="0" borderId="0" xfId="0" applyAlignment="1">
      <alignment wrapText="1"/>
    </xf>
    <xf numFmtId="0" fontId="1" fillId="6" borderId="0" xfId="0" applyFont="1" applyFill="1"/>
    <xf numFmtId="0" fontId="1" fillId="0" borderId="1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0" xfId="0" applyFont="1" applyAlignment="1">
      <alignment horizontal="left" wrapText="1"/>
    </xf>
    <xf numFmtId="0" fontId="2" fillId="0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квота!$B$3</c:f>
              <c:strCache>
                <c:ptCount val="1"/>
                <c:pt idx="0">
                  <c:v>Demand</c:v>
                </c:pt>
              </c:strCache>
            </c:strRef>
          </c:tx>
          <c:trendline>
            <c:trendlineType val="exp"/>
            <c:dispRSqr val="1"/>
            <c:dispEq val="1"/>
            <c:trendlineLbl>
              <c:layout>
                <c:manualLayout>
                  <c:x val="0.28931015306255098"/>
                  <c:y val="-1.154540367138795E-3"/>
                </c:manualLayout>
              </c:layout>
              <c:numFmt formatCode="General" sourceLinked="0"/>
            </c:trendlineLbl>
          </c:trendline>
          <c:xVal>
            <c:numRef>
              <c:f>квота!$A$4:$A$11</c:f>
              <c:numCache>
                <c:formatCode>General</c:formatCode>
                <c:ptCount val="8"/>
                <c:pt idx="0">
                  <c:v>1.35</c:v>
                </c:pt>
                <c:pt idx="1">
                  <c:v>2.0499999999999998</c:v>
                </c:pt>
                <c:pt idx="2">
                  <c:v>2.7</c:v>
                </c:pt>
                <c:pt idx="3">
                  <c:v>3.4</c:v>
                </c:pt>
                <c:pt idx="4">
                  <c:v>4.8</c:v>
                </c:pt>
                <c:pt idx="5">
                  <c:v>5.3</c:v>
                </c:pt>
                <c:pt idx="6">
                  <c:v>6</c:v>
                </c:pt>
                <c:pt idx="7">
                  <c:v>7.2</c:v>
                </c:pt>
              </c:numCache>
            </c:numRef>
          </c:xVal>
          <c:yVal>
            <c:numRef>
              <c:f>квота!$B$4:$B$11</c:f>
              <c:numCache>
                <c:formatCode>General</c:formatCode>
                <c:ptCount val="8"/>
                <c:pt idx="0">
                  <c:v>500</c:v>
                </c:pt>
                <c:pt idx="1">
                  <c:v>450</c:v>
                </c:pt>
                <c:pt idx="2">
                  <c:v>420</c:v>
                </c:pt>
                <c:pt idx="3">
                  <c:v>390</c:v>
                </c:pt>
                <c:pt idx="4">
                  <c:v>350</c:v>
                </c:pt>
                <c:pt idx="5">
                  <c:v>328</c:v>
                </c:pt>
                <c:pt idx="6">
                  <c:v>300</c:v>
                </c:pt>
                <c:pt idx="7">
                  <c:v>250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908D-4201-B931-7B9C83FBB296}"/>
            </c:ext>
          </c:extLst>
        </c:ser>
        <c:ser>
          <c:idx val="1"/>
          <c:order val="1"/>
          <c:tx>
            <c:strRef>
              <c:f>квота!$C$3</c:f>
              <c:strCache>
                <c:ptCount val="1"/>
                <c:pt idx="0">
                  <c:v>Supply</c:v>
                </c:pt>
              </c:strCache>
            </c:strRef>
          </c:tx>
          <c:trendline>
            <c:trendlineType val="log"/>
            <c:dispRSqr val="1"/>
            <c:dispEq val="1"/>
            <c:trendlineLbl>
              <c:layout>
                <c:manualLayout>
                  <c:x val="0.23830939944388141"/>
                  <c:y val="5.1452397279168935E-2"/>
                </c:manualLayout>
              </c:layout>
              <c:numFmt formatCode="General" sourceLinked="0"/>
            </c:trendlineLbl>
          </c:trendline>
          <c:xVal>
            <c:numRef>
              <c:f>квота!$A$4:$A$11</c:f>
              <c:numCache>
                <c:formatCode>General</c:formatCode>
                <c:ptCount val="8"/>
                <c:pt idx="0">
                  <c:v>1.35</c:v>
                </c:pt>
                <c:pt idx="1">
                  <c:v>2.0499999999999998</c:v>
                </c:pt>
                <c:pt idx="2">
                  <c:v>2.7</c:v>
                </c:pt>
                <c:pt idx="3">
                  <c:v>3.4</c:v>
                </c:pt>
                <c:pt idx="4">
                  <c:v>4.8</c:v>
                </c:pt>
                <c:pt idx="5">
                  <c:v>5.3</c:v>
                </c:pt>
                <c:pt idx="6">
                  <c:v>6</c:v>
                </c:pt>
                <c:pt idx="7">
                  <c:v>7.2</c:v>
                </c:pt>
              </c:numCache>
            </c:numRef>
          </c:xVal>
          <c:yVal>
            <c:numRef>
              <c:f>квота!$C$4:$C$11</c:f>
              <c:numCache>
                <c:formatCode>General</c:formatCode>
                <c:ptCount val="8"/>
                <c:pt idx="0">
                  <c:v>275</c:v>
                </c:pt>
                <c:pt idx="1">
                  <c:v>306</c:v>
                </c:pt>
                <c:pt idx="2">
                  <c:v>375</c:v>
                </c:pt>
                <c:pt idx="3">
                  <c:v>408</c:v>
                </c:pt>
                <c:pt idx="4">
                  <c:v>486</c:v>
                </c:pt>
                <c:pt idx="5">
                  <c:v>549</c:v>
                </c:pt>
                <c:pt idx="6">
                  <c:v>625</c:v>
                </c:pt>
                <c:pt idx="7">
                  <c:v>678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908D-4201-B931-7B9C83FBB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592064"/>
        <c:axId val="249593856"/>
      </c:scatterChart>
      <c:valAx>
        <c:axId val="24959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9593856"/>
        <c:crosses val="autoZero"/>
        <c:crossBetween val="midCat"/>
      </c:valAx>
      <c:valAx>
        <c:axId val="249593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95920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квота!$D$3</c:f>
              <c:strCache>
                <c:ptCount val="1"/>
                <c:pt idx="0">
                  <c:v>Func_dem</c:v>
                </c:pt>
              </c:strCache>
            </c:strRef>
          </c:tx>
          <c:xVal>
            <c:numRef>
              <c:f>квота!$D$4:$D$11</c:f>
              <c:numCache>
                <c:formatCode>General</c:formatCode>
                <c:ptCount val="8"/>
                <c:pt idx="0">
                  <c:v>495.12418411866275</c:v>
                </c:pt>
                <c:pt idx="1">
                  <c:v>458.43045835066408</c:v>
                </c:pt>
                <c:pt idx="2">
                  <c:v>426.79705026057462</c:v>
                </c:pt>
                <c:pt idx="3">
                  <c:v>395.16705838544749</c:v>
                </c:pt>
                <c:pt idx="4">
                  <c:v>338.76566277924513</c:v>
                </c:pt>
                <c:pt idx="5">
                  <c:v>320.63666845717387</c:v>
                </c:pt>
                <c:pt idx="6">
                  <c:v>296.87423801868709</c:v>
                </c:pt>
                <c:pt idx="7">
                  <c:v>260.16306515872697</c:v>
                </c:pt>
              </c:numCache>
            </c:numRef>
          </c:xVal>
          <c:yVal>
            <c:numRef>
              <c:f>квота!$A$4:$A$11</c:f>
              <c:numCache>
                <c:formatCode>General</c:formatCode>
                <c:ptCount val="8"/>
                <c:pt idx="0">
                  <c:v>1.35</c:v>
                </c:pt>
                <c:pt idx="1">
                  <c:v>2.0499999999999998</c:v>
                </c:pt>
                <c:pt idx="2">
                  <c:v>2.7</c:v>
                </c:pt>
                <c:pt idx="3">
                  <c:v>3.4</c:v>
                </c:pt>
                <c:pt idx="4">
                  <c:v>4.8</c:v>
                </c:pt>
                <c:pt idx="5">
                  <c:v>5.3</c:v>
                </c:pt>
                <c:pt idx="6">
                  <c:v>6</c:v>
                </c:pt>
                <c:pt idx="7">
                  <c:v>7.2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B7D-458F-BE77-A94ADA4C418B}"/>
            </c:ext>
          </c:extLst>
        </c:ser>
        <c:ser>
          <c:idx val="1"/>
          <c:order val="1"/>
          <c:tx>
            <c:strRef>
              <c:f>квота!$E$3</c:f>
              <c:strCache>
                <c:ptCount val="1"/>
                <c:pt idx="0">
                  <c:v>Func_sup</c:v>
                </c:pt>
              </c:strCache>
            </c:strRef>
          </c:tx>
          <c:xVal>
            <c:numRef>
              <c:f>квота!$E$4:$E$11</c:f>
              <c:numCache>
                <c:formatCode>General</c:formatCode>
                <c:ptCount val="8"/>
                <c:pt idx="0">
                  <c:v>255.43529568323925</c:v>
                </c:pt>
                <c:pt idx="1">
                  <c:v>322.71691782550539</c:v>
                </c:pt>
                <c:pt idx="2">
                  <c:v>376.50209388530999</c:v>
                </c:pt>
                <c:pt idx="3">
                  <c:v>428.35303358023293</c:v>
                </c:pt>
                <c:pt idx="4">
                  <c:v>519.54577518034625</c:v>
                </c:pt>
                <c:pt idx="5">
                  <c:v>549.17442154609444</c:v>
                </c:pt>
                <c:pt idx="6">
                  <c:v>588.65976385472175</c:v>
                </c:pt>
                <c:pt idx="7">
                  <c:v>651.90167255134895</c:v>
                </c:pt>
              </c:numCache>
            </c:numRef>
          </c:xVal>
          <c:yVal>
            <c:numRef>
              <c:f>квота!$A$4:$A$11</c:f>
              <c:numCache>
                <c:formatCode>General</c:formatCode>
                <c:ptCount val="8"/>
                <c:pt idx="0">
                  <c:v>1.35</c:v>
                </c:pt>
                <c:pt idx="1">
                  <c:v>2.0499999999999998</c:v>
                </c:pt>
                <c:pt idx="2">
                  <c:v>2.7</c:v>
                </c:pt>
                <c:pt idx="3">
                  <c:v>3.4</c:v>
                </c:pt>
                <c:pt idx="4">
                  <c:v>4.8</c:v>
                </c:pt>
                <c:pt idx="5">
                  <c:v>5.3</c:v>
                </c:pt>
                <c:pt idx="6">
                  <c:v>6</c:v>
                </c:pt>
                <c:pt idx="7">
                  <c:v>7.2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6B7D-458F-BE77-A94ADA4C418B}"/>
            </c:ext>
          </c:extLst>
        </c:ser>
        <c:ser>
          <c:idx val="2"/>
          <c:order val="2"/>
          <c:tx>
            <c:v>P*Q*</c:v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9"/>
            <c:spPr>
              <a:solidFill>
                <a:srgbClr val="FFFF00"/>
              </a:solidFill>
            </c:spPr>
          </c:marker>
          <c:xVal>
            <c:numRef>
              <c:f>квота!$J$3</c:f>
              <c:numCache>
                <c:formatCode>General</c:formatCode>
                <c:ptCount val="1"/>
                <c:pt idx="0">
                  <c:v>128.86582765046958</c:v>
                </c:pt>
              </c:numCache>
            </c:numRef>
          </c:xVal>
          <c:yVal>
            <c:numRef>
              <c:f>квота!$J$5</c:f>
              <c:numCache>
                <c:formatCode>General</c:formatCode>
                <c:ptCount val="1"/>
                <c:pt idx="0">
                  <c:v>13.586698552343229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6B7D-458F-BE77-A94ADA4C418B}"/>
            </c:ext>
          </c:extLst>
        </c:ser>
        <c:ser>
          <c:idx val="3"/>
          <c:order val="3"/>
          <c:tx>
            <c:strRef>
              <c:f>квота!$F$3</c:f>
              <c:strCache>
                <c:ptCount val="1"/>
                <c:pt idx="0">
                  <c:v>Sup=Qlim</c:v>
                </c:pt>
              </c:strCache>
            </c:strRef>
          </c:tx>
          <c:xVal>
            <c:numRef>
              <c:f>квота!$F$4:$F$11</c:f>
              <c:numCache>
                <c:formatCode>General</c:formatCode>
                <c:ptCount val="8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</c:numCache>
            </c:numRef>
          </c:xVal>
          <c:yVal>
            <c:numRef>
              <c:f>квота!$A$4:$A$11</c:f>
              <c:numCache>
                <c:formatCode>General</c:formatCode>
                <c:ptCount val="8"/>
                <c:pt idx="0">
                  <c:v>1.35</c:v>
                </c:pt>
                <c:pt idx="1">
                  <c:v>2.0499999999999998</c:v>
                </c:pt>
                <c:pt idx="2">
                  <c:v>2.7</c:v>
                </c:pt>
                <c:pt idx="3">
                  <c:v>3.4</c:v>
                </c:pt>
                <c:pt idx="4">
                  <c:v>4.8</c:v>
                </c:pt>
                <c:pt idx="5">
                  <c:v>5.3</c:v>
                </c:pt>
                <c:pt idx="6">
                  <c:v>6</c:v>
                </c:pt>
                <c:pt idx="7">
                  <c:v>7.2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6B7D-458F-BE77-A94ADA4C418B}"/>
            </c:ext>
          </c:extLst>
        </c:ser>
        <c:ser>
          <c:idx val="4"/>
          <c:order val="4"/>
          <c:tx>
            <c:v>p**Q**</c:v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xVal>
            <c:numRef>
              <c:f>квота!$J$12</c:f>
              <c:numCache>
                <c:formatCode>General</c:formatCode>
                <c:ptCount val="1"/>
                <c:pt idx="0">
                  <c:v>350</c:v>
                </c:pt>
              </c:numCache>
            </c:numRef>
          </c:xVal>
          <c:yVal>
            <c:numRef>
              <c:f>квота!$J$13</c:f>
              <c:numCache>
                <c:formatCode>General</c:formatCode>
                <c:ptCount val="1"/>
                <c:pt idx="0">
                  <c:v>4.5034132180899711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6B7D-458F-BE77-A94ADA4C4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622912"/>
        <c:axId val="249624832"/>
      </c:scatterChart>
      <c:valAx>
        <c:axId val="24962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9624832"/>
        <c:crosses val="autoZero"/>
        <c:crossBetween val="midCat"/>
      </c:valAx>
      <c:valAx>
        <c:axId val="249624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962291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13</xdr:row>
      <xdr:rowOff>104774</xdr:rowOff>
    </xdr:from>
    <xdr:to>
      <xdr:col>5</xdr:col>
      <xdr:colOff>400050</xdr:colOff>
      <xdr:row>30</xdr:row>
      <xdr:rowOff>38099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6350</xdr:colOff>
      <xdr:row>16</xdr:row>
      <xdr:rowOff>28574</xdr:rowOff>
    </xdr:from>
    <xdr:to>
      <xdr:col>12</xdr:col>
      <xdr:colOff>381000</xdr:colOff>
      <xdr:row>32</xdr:row>
      <xdr:rowOff>38099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393700</xdr:colOff>
      <xdr:row>0</xdr:row>
      <xdr:rowOff>641350</xdr:rowOff>
    </xdr:from>
    <xdr:to>
      <xdr:col>17</xdr:col>
      <xdr:colOff>470495</xdr:colOff>
      <xdr:row>0</xdr:row>
      <xdr:rowOff>1270000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C3A257BD-0C51-4CDA-914B-89E3912EF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4200" y="641350"/>
          <a:ext cx="1905595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19</xdr:col>
      <xdr:colOff>106953</xdr:colOff>
      <xdr:row>26</xdr:row>
      <xdr:rowOff>113608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85059" y="5190565"/>
          <a:ext cx="3154953" cy="23547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tabSelected="1" zoomScale="40" zoomScaleNormal="40" workbookViewId="0">
      <selection activeCell="P29" sqref="P29"/>
    </sheetView>
  </sheetViews>
  <sheetFormatPr defaultRowHeight="14.4" x14ac:dyDescent="0.3"/>
  <cols>
    <col min="2" max="2" width="11.5546875" bestFit="1" customWidth="1"/>
    <col min="3" max="3" width="9.5546875" bestFit="1" customWidth="1"/>
    <col min="4" max="5" width="18.77734375" bestFit="1" customWidth="1"/>
    <col min="6" max="6" width="13.21875" bestFit="1" customWidth="1"/>
    <col min="8" max="8" width="11" bestFit="1" customWidth="1"/>
    <col min="9" max="9" width="15.77734375" customWidth="1"/>
    <col min="10" max="10" width="18.77734375" bestFit="1" customWidth="1"/>
    <col min="12" max="12" width="13.44140625" customWidth="1"/>
    <col min="13" max="13" width="10.77734375" customWidth="1"/>
    <col min="14" max="14" width="16.5546875" bestFit="1" customWidth="1"/>
    <col min="21" max="21" width="14.5546875" bestFit="1" customWidth="1"/>
  </cols>
  <sheetData>
    <row r="1" spans="1:21" ht="131.55000000000001" customHeight="1" x14ac:dyDescent="0.4">
      <c r="A1" s="33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29"/>
      <c r="L1" s="29"/>
      <c r="N1" s="2" t="s">
        <v>15</v>
      </c>
      <c r="O1" s="34"/>
      <c r="P1" s="34"/>
      <c r="Q1" s="34"/>
      <c r="R1" s="34"/>
      <c r="S1" s="34"/>
    </row>
    <row r="2" spans="1:21" ht="21.6" thickBot="1" x14ac:dyDescent="0.45">
      <c r="A2" s="1"/>
      <c r="B2" s="1"/>
      <c r="C2" s="1"/>
      <c r="D2" s="1"/>
      <c r="E2" s="1"/>
      <c r="F2" s="1"/>
      <c r="G2" s="1"/>
      <c r="H2" s="1"/>
      <c r="I2" s="31" t="s">
        <v>0</v>
      </c>
      <c r="J2" s="31"/>
      <c r="K2" s="1"/>
      <c r="L2" s="31" t="s">
        <v>6</v>
      </c>
      <c r="M2" s="31"/>
      <c r="N2" s="1"/>
      <c r="O2" s="1"/>
      <c r="P2" s="1"/>
      <c r="Q2" s="1" t="s">
        <v>25</v>
      </c>
      <c r="R2" s="1"/>
      <c r="S2" s="2" t="s">
        <v>24</v>
      </c>
      <c r="T2" s="1"/>
      <c r="U2" s="1"/>
    </row>
    <row r="3" spans="1:21" ht="21.6" thickBot="1" x14ac:dyDescent="0.45">
      <c r="A3" s="3" t="s">
        <v>1</v>
      </c>
      <c r="B3" s="4" t="s">
        <v>2</v>
      </c>
      <c r="C3" s="5" t="s">
        <v>3</v>
      </c>
      <c r="D3" s="6" t="s">
        <v>4</v>
      </c>
      <c r="E3" s="6" t="s">
        <v>5</v>
      </c>
      <c r="F3" s="7" t="s">
        <v>22</v>
      </c>
      <c r="G3" s="8"/>
      <c r="H3" s="27" t="s">
        <v>16</v>
      </c>
      <c r="I3" s="9" t="s">
        <v>7</v>
      </c>
      <c r="J3" s="10">
        <f>574.39*EXP(-0.11*J5)</f>
        <v>128.86582765046958</v>
      </c>
      <c r="K3" s="1"/>
      <c r="L3" s="10" t="s">
        <v>7</v>
      </c>
      <c r="M3" s="10">
        <f>574.39*EXP(-0.11*M5)</f>
        <v>407.79659416142641</v>
      </c>
      <c r="N3" s="1"/>
      <c r="O3" s="1"/>
      <c r="P3" s="1"/>
      <c r="Q3" s="1"/>
      <c r="R3" s="1"/>
      <c r="S3" s="1"/>
      <c r="T3" s="1"/>
      <c r="U3" s="1"/>
    </row>
    <row r="4" spans="1:21" ht="21" x14ac:dyDescent="0.4">
      <c r="A4" s="11">
        <v>1.35</v>
      </c>
      <c r="B4" s="12">
        <v>500</v>
      </c>
      <c r="C4" s="13">
        <v>275</v>
      </c>
      <c r="D4" s="10">
        <f>574.39*EXP(-0.11*A4)</f>
        <v>495.12418411866275</v>
      </c>
      <c r="E4" s="10">
        <f>215.94*A4^0.5597</f>
        <v>255.43529568323925</v>
      </c>
      <c r="F4" s="10">
        <f>$J$9</f>
        <v>350</v>
      </c>
      <c r="G4" s="9"/>
      <c r="H4" s="9"/>
      <c r="I4" s="9" t="s">
        <v>8</v>
      </c>
      <c r="J4" s="10">
        <f>53.527*LN(J5)-10.791</f>
        <v>128.86582822299042</v>
      </c>
      <c r="K4" s="1"/>
      <c r="L4" s="10" t="s">
        <v>8</v>
      </c>
      <c r="M4" s="10">
        <f>215.94*M5^0.5597</f>
        <v>407.79659411489848</v>
      </c>
      <c r="N4" s="1"/>
      <c r="O4" s="1" t="s">
        <v>12</v>
      </c>
      <c r="P4" s="1">
        <f>(574.39*(-0.11)*EXP(-0.11*J5))*(J5/J3)</f>
        <v>-1.4945368407577551</v>
      </c>
      <c r="Q4" s="1"/>
      <c r="R4" s="1"/>
      <c r="S4" s="1"/>
      <c r="T4" s="1"/>
      <c r="U4" s="1"/>
    </row>
    <row r="5" spans="1:21" ht="21" x14ac:dyDescent="0.4">
      <c r="A5" s="14">
        <v>2.0499999999999998</v>
      </c>
      <c r="B5" s="10">
        <v>450</v>
      </c>
      <c r="C5" s="15">
        <v>306</v>
      </c>
      <c r="D5" s="10">
        <f t="shared" ref="D5:D11" si="0">574.39*EXP(-0.11*A5)</f>
        <v>458.43045835066408</v>
      </c>
      <c r="E5" s="10">
        <f t="shared" ref="E5:E11" si="1">215.94*A5^0.5597</f>
        <v>322.71691782550539</v>
      </c>
      <c r="F5" s="10">
        <f t="shared" ref="F5:F11" si="2">$J$9</f>
        <v>350</v>
      </c>
      <c r="G5" s="9"/>
      <c r="H5" s="9"/>
      <c r="I5" s="9" t="s">
        <v>9</v>
      </c>
      <c r="J5" s="10">
        <v>13.586698552343229</v>
      </c>
      <c r="K5" s="1"/>
      <c r="L5" s="10" t="s">
        <v>9</v>
      </c>
      <c r="M5" s="10">
        <v>3.1140009249435328</v>
      </c>
      <c r="N5" s="1"/>
      <c r="O5" s="1" t="s">
        <v>13</v>
      </c>
      <c r="P5" s="1">
        <f>(215.94*0.5597*J5^(-0.4403))*(J5/J3)</f>
        <v>4.0397501772681395</v>
      </c>
      <c r="Q5" s="1"/>
      <c r="R5" s="1"/>
      <c r="S5" s="1"/>
      <c r="T5" s="1"/>
      <c r="U5" s="1"/>
    </row>
    <row r="6" spans="1:21" ht="21" x14ac:dyDescent="0.4">
      <c r="A6" s="14">
        <v>2.7</v>
      </c>
      <c r="B6" s="10">
        <v>420</v>
      </c>
      <c r="C6" s="15">
        <v>375</v>
      </c>
      <c r="D6" s="10">
        <f t="shared" si="0"/>
        <v>426.79705026057462</v>
      </c>
      <c r="E6" s="10">
        <f t="shared" si="1"/>
        <v>376.50209388530999</v>
      </c>
      <c r="F6" s="10">
        <f t="shared" si="2"/>
        <v>350</v>
      </c>
      <c r="G6" s="9"/>
      <c r="H6" s="9"/>
      <c r="I6" s="9" t="s">
        <v>10</v>
      </c>
      <c r="J6" s="16">
        <f>J3-J4</f>
        <v>-5.7252083252024022E-7</v>
      </c>
      <c r="K6" s="1"/>
      <c r="L6" s="10" t="s">
        <v>10</v>
      </c>
      <c r="M6" s="16">
        <f>M3-M4</f>
        <v>4.6527929953299463E-8</v>
      </c>
      <c r="N6" s="1"/>
      <c r="O6" s="1"/>
      <c r="P6" s="1"/>
      <c r="Q6" s="1"/>
      <c r="R6" s="1"/>
      <c r="S6" s="1"/>
      <c r="T6" s="1"/>
      <c r="U6" s="1"/>
    </row>
    <row r="7" spans="1:21" ht="21" x14ac:dyDescent="0.4">
      <c r="A7" s="14">
        <v>3.4</v>
      </c>
      <c r="B7" s="10">
        <v>390</v>
      </c>
      <c r="C7" s="15">
        <v>408</v>
      </c>
      <c r="D7" s="10">
        <f t="shared" si="0"/>
        <v>395.16705838544749</v>
      </c>
      <c r="E7" s="10">
        <f t="shared" si="1"/>
        <v>428.35303358023293</v>
      </c>
      <c r="F7" s="10">
        <f t="shared" si="2"/>
        <v>350</v>
      </c>
      <c r="G7" s="17"/>
      <c r="H7" s="17"/>
      <c r="I7" s="18" t="s">
        <v>11</v>
      </c>
      <c r="J7" s="19"/>
      <c r="K7" s="19"/>
      <c r="L7" s="19"/>
      <c r="M7" s="19"/>
      <c r="N7" s="1"/>
      <c r="O7" s="1" t="str">
        <f>IF(ABS(P4)&gt;P5,"стабільна динамічна рівновага",IF(ABS(P4)&lt;P5,"нестабільна динамічна рівновага","квазістабільна динамічна рівновага"))</f>
        <v>нестабільна динамічна рівновага</v>
      </c>
      <c r="P7" s="1"/>
      <c r="Q7" s="1"/>
      <c r="R7" s="1"/>
      <c r="S7" s="1"/>
      <c r="T7" s="1"/>
      <c r="U7" s="1"/>
    </row>
    <row r="8" spans="1:21" ht="21" x14ac:dyDescent="0.4">
      <c r="A8" s="14">
        <v>4.8</v>
      </c>
      <c r="B8" s="10">
        <v>350</v>
      </c>
      <c r="C8" s="15">
        <v>486</v>
      </c>
      <c r="D8" s="10">
        <f t="shared" si="0"/>
        <v>338.76566277924513</v>
      </c>
      <c r="E8" s="10">
        <f t="shared" si="1"/>
        <v>519.54577518034625</v>
      </c>
      <c r="F8" s="10">
        <f t="shared" si="2"/>
        <v>350</v>
      </c>
      <c r="G8" s="20"/>
      <c r="H8" s="20"/>
      <c r="I8" s="32"/>
      <c r="J8" s="32"/>
      <c r="K8" s="32"/>
      <c r="L8" s="19"/>
      <c r="M8" s="19"/>
      <c r="N8" s="1"/>
      <c r="O8" s="1"/>
      <c r="P8" s="1"/>
      <c r="Q8" s="1"/>
      <c r="R8" s="1"/>
      <c r="S8" s="1"/>
      <c r="T8" s="1"/>
      <c r="U8" s="1"/>
    </row>
    <row r="9" spans="1:21" ht="21" x14ac:dyDescent="0.4">
      <c r="A9" s="14">
        <v>5.3</v>
      </c>
      <c r="B9" s="10">
        <v>328</v>
      </c>
      <c r="C9" s="15">
        <v>549</v>
      </c>
      <c r="D9" s="10">
        <f t="shared" si="0"/>
        <v>320.63666845717387</v>
      </c>
      <c r="E9" s="10">
        <f t="shared" si="1"/>
        <v>549.17442154609444</v>
      </c>
      <c r="F9" s="10">
        <f t="shared" si="2"/>
        <v>350</v>
      </c>
      <c r="G9" s="20"/>
      <c r="H9" s="20"/>
      <c r="I9" s="21" t="s">
        <v>21</v>
      </c>
      <c r="J9" s="19">
        <v>350</v>
      </c>
      <c r="K9" s="32"/>
      <c r="L9" s="32"/>
      <c r="M9" s="32"/>
      <c r="N9" s="1"/>
      <c r="O9" s="1"/>
      <c r="P9" s="1"/>
      <c r="Q9" s="1"/>
      <c r="R9" s="1"/>
      <c r="S9" s="1"/>
      <c r="T9" s="1"/>
      <c r="U9" s="1"/>
    </row>
    <row r="10" spans="1:21" ht="21" x14ac:dyDescent="0.4">
      <c r="A10" s="14">
        <v>6</v>
      </c>
      <c r="B10" s="10">
        <v>300</v>
      </c>
      <c r="C10" s="15">
        <v>625</v>
      </c>
      <c r="D10" s="10">
        <f t="shared" si="0"/>
        <v>296.87423801868709</v>
      </c>
      <c r="E10" s="10">
        <f t="shared" si="1"/>
        <v>588.65976385472175</v>
      </c>
      <c r="F10" s="10">
        <f t="shared" si="2"/>
        <v>350</v>
      </c>
      <c r="G10" s="20"/>
      <c r="H10" s="20"/>
      <c r="I10" s="19"/>
      <c r="J10" s="19"/>
      <c r="K10" s="19"/>
      <c r="L10" s="19"/>
      <c r="M10" s="22" t="s">
        <v>26</v>
      </c>
      <c r="N10" s="22"/>
      <c r="O10" s="22"/>
      <c r="P10" s="22"/>
      <c r="Q10" s="1"/>
      <c r="R10" s="1"/>
      <c r="S10" s="1"/>
      <c r="T10" s="1"/>
      <c r="U10" s="1"/>
    </row>
    <row r="11" spans="1:21" ht="21.6" thickBot="1" x14ac:dyDescent="0.45">
      <c r="A11" s="23">
        <v>7.2</v>
      </c>
      <c r="B11" s="24">
        <v>250</v>
      </c>
      <c r="C11" s="25">
        <v>678</v>
      </c>
      <c r="D11" s="10">
        <f t="shared" si="0"/>
        <v>260.16306515872697</v>
      </c>
      <c r="E11" s="10">
        <f t="shared" si="1"/>
        <v>651.90167255134895</v>
      </c>
      <c r="F11" s="10">
        <f t="shared" si="2"/>
        <v>350</v>
      </c>
      <c r="G11" s="20"/>
      <c r="H11" s="28" t="s">
        <v>17</v>
      </c>
      <c r="I11" s="9" t="s">
        <v>19</v>
      </c>
      <c r="J11" s="10">
        <f>574.39*EXP(-0.11*J13)</f>
        <v>349.99999987342585</v>
      </c>
      <c r="K11" s="19"/>
      <c r="L11" s="19"/>
      <c r="M11" s="19">
        <f>J12-J4</f>
        <v>221.13417177700958</v>
      </c>
      <c r="N11" s="30" t="str">
        <f>IF(M11&lt;0,"дифіцит","надлишок")</f>
        <v>надлишок</v>
      </c>
      <c r="O11" s="1"/>
      <c r="P11" s="1"/>
      <c r="Q11" s="1"/>
      <c r="R11" s="1"/>
      <c r="S11" s="1"/>
      <c r="T11" s="1"/>
      <c r="U11" s="1"/>
    </row>
    <row r="12" spans="1:21" ht="21" x14ac:dyDescent="0.4">
      <c r="A12" s="1"/>
      <c r="B12" s="1"/>
      <c r="C12" s="1"/>
      <c r="D12" s="1"/>
      <c r="E12" s="1"/>
      <c r="F12" s="1"/>
      <c r="G12" s="1"/>
      <c r="H12" s="1"/>
      <c r="I12" s="9" t="s">
        <v>27</v>
      </c>
      <c r="J12" s="10">
        <v>350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21" x14ac:dyDescent="0.4">
      <c r="A13" s="1"/>
      <c r="B13" s="1"/>
      <c r="C13" s="1"/>
      <c r="D13" s="1"/>
      <c r="E13" s="1"/>
      <c r="F13" s="1"/>
      <c r="G13" s="1"/>
      <c r="H13" s="1"/>
      <c r="I13" s="9" t="s">
        <v>18</v>
      </c>
      <c r="J13" s="10">
        <v>4.5034132180899711</v>
      </c>
      <c r="K13" s="1"/>
      <c r="L13" s="1"/>
      <c r="M13" s="22" t="s">
        <v>28</v>
      </c>
      <c r="N13" s="22"/>
      <c r="O13" s="1"/>
      <c r="P13" s="1"/>
      <c r="Q13" s="1"/>
      <c r="R13" s="1"/>
      <c r="S13" s="1"/>
      <c r="T13" s="1"/>
      <c r="U13" s="1"/>
    </row>
    <row r="14" spans="1:21" ht="21" x14ac:dyDescent="0.5">
      <c r="A14" s="1"/>
      <c r="B14" s="1"/>
      <c r="C14" s="1"/>
      <c r="D14" s="26"/>
      <c r="E14" s="1"/>
      <c r="F14" s="1"/>
      <c r="G14" s="1"/>
      <c r="H14" s="1"/>
      <c r="I14" s="9" t="s">
        <v>20</v>
      </c>
      <c r="J14" s="16">
        <f>J11-J12</f>
        <v>-1.2657415027206298E-7</v>
      </c>
      <c r="K14" s="1"/>
      <c r="L14" s="1"/>
      <c r="M14" s="1">
        <f>J13-J5</f>
        <v>-9.083285334253258</v>
      </c>
      <c r="N14" s="1"/>
      <c r="O14" s="1"/>
      <c r="P14" s="1"/>
      <c r="Q14" s="1"/>
      <c r="R14" s="1"/>
      <c r="S14" s="1"/>
      <c r="T14" s="1"/>
      <c r="U14" s="1"/>
    </row>
    <row r="15" spans="1:21" ht="21" x14ac:dyDescent="0.4">
      <c r="A15" s="1"/>
      <c r="B15" s="1"/>
      <c r="C15" s="1"/>
      <c r="D15" s="1"/>
      <c r="E15" s="1"/>
      <c r="F15" s="1"/>
      <c r="G15" s="1"/>
      <c r="H15" s="1"/>
      <c r="I15" s="18" t="s">
        <v>23</v>
      </c>
      <c r="J15" s="1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</sheetData>
  <mergeCells count="6">
    <mergeCell ref="O1:S1"/>
    <mergeCell ref="I2:J2"/>
    <mergeCell ref="L2:M2"/>
    <mergeCell ref="I8:K8"/>
    <mergeCell ref="K9:M9"/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квота</vt:lpstr>
    </vt:vector>
  </TitlesOfParts>
  <Company>Ya Blondinko Edition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2021-03-11T06:40:26Z</dcterms:created>
  <dcterms:modified xsi:type="dcterms:W3CDTF">2025-11-22T00:20:01Z</dcterms:modified>
</cp:coreProperties>
</file>