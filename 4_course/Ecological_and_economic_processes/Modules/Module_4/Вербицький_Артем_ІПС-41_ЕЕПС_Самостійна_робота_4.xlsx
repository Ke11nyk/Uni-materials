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DFD8F5-F8D0-48D6-BB4F-088860CB3DD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УМОВА_ЛИНЕЙН" sheetId="7" r:id="rId1"/>
    <sheet name="MAX_profit_short" sheetId="8" r:id="rId2"/>
    <sheet name="MIN_costs" sheetId="10" r:id="rId3"/>
    <sheet name="MAX_produce" sheetId="9" r:id="rId4"/>
  </sheets>
  <definedNames>
    <definedName name="solver_adj" localSheetId="3" hidden="1">MAX_produce!$I$11:$J$11</definedName>
    <definedName name="solver_adj" localSheetId="1" hidden="1">MAX_profit_short!$I$11,MAX_profit_short!$J$11</definedName>
    <definedName name="solver_adj" localSheetId="2" hidden="1">MIN_costs!$I$11:$J$11</definedName>
    <definedName name="solver_adj" localSheetId="0" hidden="1">УМОВА_ЛИНЕЙН!$J$5:$K$5</definedName>
    <definedName name="solver_cvg" localSheetId="3" hidden="1">0.0001</definedName>
    <definedName name="solver_cvg" localSheetId="1" hidden="1">0.0001</definedName>
    <definedName name="solver_cvg" localSheetId="2" hidden="1">0.0001</definedName>
    <definedName name="solver_cvg" localSheetId="0" hidden="1">0.0001</definedName>
    <definedName name="solver_drv" localSheetId="3" hidden="1">1</definedName>
    <definedName name="solver_drv" localSheetId="1" hidden="1">1</definedName>
    <definedName name="solver_drv" localSheetId="2" hidden="1">1</definedName>
    <definedName name="solver_drv" localSheetId="0" hidden="1">1</definedName>
    <definedName name="solver_eng" localSheetId="3" hidden="1">1</definedName>
    <definedName name="solver_eng" localSheetId="1" hidden="1">1</definedName>
    <definedName name="solver_eng" localSheetId="2" hidden="1">1</definedName>
    <definedName name="solver_est" localSheetId="3" hidden="1">1</definedName>
    <definedName name="solver_est" localSheetId="1" hidden="1">1</definedName>
    <definedName name="solver_est" localSheetId="2" hidden="1">1</definedName>
    <definedName name="solver_est" localSheetId="0" hidden="1">1</definedName>
    <definedName name="solver_itr" localSheetId="3" hidden="1">100</definedName>
    <definedName name="solver_itr" localSheetId="1" hidden="1">100</definedName>
    <definedName name="solver_itr" localSheetId="2" hidden="1">100</definedName>
    <definedName name="solver_itr" localSheetId="0" hidden="1">100</definedName>
    <definedName name="solver_lhs1" localSheetId="3" hidden="1">MAX_produce!$H$11</definedName>
    <definedName name="solver_lhs1" localSheetId="1" hidden="1">MAX_profit_short!$I$11:$J$11</definedName>
    <definedName name="solver_lhs1" localSheetId="2" hidden="1">MIN_costs!$H$11</definedName>
    <definedName name="solver_lhs2" localSheetId="3" hidden="1">MAX_produce!$I$11:$J$11</definedName>
    <definedName name="solver_lhs2" localSheetId="1" hidden="1">MAX_profit_short!$I$11:$J$11</definedName>
    <definedName name="solver_lhs2" localSheetId="2" hidden="1">MIN_costs!$I$11:$J$11</definedName>
    <definedName name="solver_lhs3" localSheetId="3" hidden="1">MAX_produce!$I$11:$J$11</definedName>
    <definedName name="solver_lhs3" localSheetId="1" hidden="1">MAX_profit_short!$J$11</definedName>
    <definedName name="solver_lin" localSheetId="3" hidden="1">2</definedName>
    <definedName name="solver_lin" localSheetId="1" hidden="1">2</definedName>
    <definedName name="solver_lin" localSheetId="2" hidden="1">2</definedName>
    <definedName name="solver_lin" localSheetId="0" hidden="1">2</definedName>
    <definedName name="solver_mip" localSheetId="3" hidden="1">2147483647</definedName>
    <definedName name="solver_mip" localSheetId="1" hidden="1">2147483647</definedName>
    <definedName name="solver_mip" localSheetId="2" hidden="1">2147483647</definedName>
    <definedName name="solver_mni" localSheetId="3" hidden="1">30</definedName>
    <definedName name="solver_mni" localSheetId="1" hidden="1">30</definedName>
    <definedName name="solver_mni" localSheetId="2" hidden="1">30</definedName>
    <definedName name="solver_mrt" localSheetId="3" hidden="1">0.075</definedName>
    <definedName name="solver_mrt" localSheetId="1" hidden="1">0.075</definedName>
    <definedName name="solver_mrt" localSheetId="2" hidden="1">0.075</definedName>
    <definedName name="solver_msl" localSheetId="3" hidden="1">2</definedName>
    <definedName name="solver_msl" localSheetId="1" hidden="1">2</definedName>
    <definedName name="solver_msl" localSheetId="2" hidden="1">2</definedName>
    <definedName name="solver_neg" localSheetId="3" hidden="1">1</definedName>
    <definedName name="solver_neg" localSheetId="1" hidden="1">1</definedName>
    <definedName name="solver_neg" localSheetId="2" hidden="1">1</definedName>
    <definedName name="solver_neg" localSheetId="0" hidden="1">1</definedName>
    <definedName name="solver_nod" localSheetId="3" hidden="1">2147483647</definedName>
    <definedName name="solver_nod" localSheetId="1" hidden="1">2147483647</definedName>
    <definedName name="solver_nod" localSheetId="2" hidden="1">2147483647</definedName>
    <definedName name="solver_num" localSheetId="3" hidden="1">2</definedName>
    <definedName name="solver_num" localSheetId="1" hidden="1">1</definedName>
    <definedName name="solver_num" localSheetId="2" hidden="1">2</definedName>
    <definedName name="solver_num" localSheetId="0" hidden="1">0</definedName>
    <definedName name="solver_nwt" localSheetId="3" hidden="1">1</definedName>
    <definedName name="solver_nwt" localSheetId="1" hidden="1">1</definedName>
    <definedName name="solver_nwt" localSheetId="2" hidden="1">1</definedName>
    <definedName name="solver_nwt" localSheetId="0" hidden="1">1</definedName>
    <definedName name="solver_opt" localSheetId="3" hidden="1">MAX_produce!$F$11</definedName>
    <definedName name="solver_opt" localSheetId="1" hidden="1">MAX_profit_short!$F$11</definedName>
    <definedName name="solver_opt" localSheetId="2" hidden="1">MIN_costs!$F$11</definedName>
    <definedName name="solver_opt" localSheetId="0" hidden="1">УМОВА_ЛИНЕЙН!$G$21</definedName>
    <definedName name="solver_pre" localSheetId="3" hidden="1">0.000001</definedName>
    <definedName name="solver_pre" localSheetId="1" hidden="1">0.000001</definedName>
    <definedName name="solver_pre" localSheetId="2" hidden="1">0.000001</definedName>
    <definedName name="solver_pre" localSheetId="0" hidden="1">0.000001</definedName>
    <definedName name="solver_rbv" localSheetId="3" hidden="1">1</definedName>
    <definedName name="solver_rbv" localSheetId="1" hidden="1">1</definedName>
    <definedName name="solver_rbv" localSheetId="2" hidden="1">1</definedName>
    <definedName name="solver_rel1" localSheetId="3" hidden="1">1</definedName>
    <definedName name="solver_rel1" localSheetId="1" hidden="1">1</definedName>
    <definedName name="solver_rel1" localSheetId="2" hidden="1">3</definedName>
    <definedName name="solver_rel2" localSheetId="3" hidden="1">4</definedName>
    <definedName name="solver_rel2" localSheetId="1" hidden="1">1</definedName>
    <definedName name="solver_rel2" localSheetId="2" hidden="1">4</definedName>
    <definedName name="solver_rel3" localSheetId="3" hidden="1">4</definedName>
    <definedName name="solver_rel3" localSheetId="1" hidden="1">1</definedName>
    <definedName name="solver_rhs1" localSheetId="3" hidden="1">MAX_produce!$B$3</definedName>
    <definedName name="solver_rhs1" localSheetId="1" hidden="1">MAX_profit_short!$I$13:$J$13</definedName>
    <definedName name="solver_rhs1" localSheetId="2" hidden="1">MIN_costs!$B$3</definedName>
    <definedName name="solver_rhs2" localSheetId="3" hidden="1">"integer"</definedName>
    <definedName name="solver_rhs2" localSheetId="1" hidden="1">MAX_profit_short!$I$13:$J$13</definedName>
    <definedName name="solver_rhs2" localSheetId="2" hidden="1">"integer"</definedName>
    <definedName name="solver_rhs3" localSheetId="3" hidden="1">"ціле"</definedName>
    <definedName name="solver_rhs3" localSheetId="1" hidden="1">MAX_profit_short!$J$13</definedName>
    <definedName name="solver_rlx" localSheetId="3" hidden="1">2</definedName>
    <definedName name="solver_rlx" localSheetId="1" hidden="1">2</definedName>
    <definedName name="solver_rlx" localSheetId="2" hidden="1">2</definedName>
    <definedName name="solver_rsd" localSheetId="3" hidden="1">0</definedName>
    <definedName name="solver_rsd" localSheetId="1" hidden="1">0</definedName>
    <definedName name="solver_rsd" localSheetId="2" hidden="1">0</definedName>
    <definedName name="solver_scl" localSheetId="3" hidden="1">2</definedName>
    <definedName name="solver_scl" localSheetId="1" hidden="1">2</definedName>
    <definedName name="solver_scl" localSheetId="2" hidden="1">2</definedName>
    <definedName name="solver_scl" localSheetId="0" hidden="1">2</definedName>
    <definedName name="solver_sho" localSheetId="3" hidden="1">2</definedName>
    <definedName name="solver_sho" localSheetId="1" hidden="1">2</definedName>
    <definedName name="solver_sho" localSheetId="2" hidden="1">2</definedName>
    <definedName name="solver_sho" localSheetId="0" hidden="1">2</definedName>
    <definedName name="solver_ssz" localSheetId="3" hidden="1">100</definedName>
    <definedName name="solver_ssz" localSheetId="1" hidden="1">100</definedName>
    <definedName name="solver_ssz" localSheetId="2" hidden="1">100</definedName>
    <definedName name="solver_tim" localSheetId="3" hidden="1">100</definedName>
    <definedName name="solver_tim" localSheetId="1" hidden="1">100</definedName>
    <definedName name="solver_tim" localSheetId="2" hidden="1">100</definedName>
    <definedName name="solver_tim" localSheetId="0" hidden="1">100</definedName>
    <definedName name="solver_tol" localSheetId="3" hidden="1">0.05</definedName>
    <definedName name="solver_tol" localSheetId="1" hidden="1">0.05</definedName>
    <definedName name="solver_tol" localSheetId="2" hidden="1">0.05</definedName>
    <definedName name="solver_tol" localSheetId="0" hidden="1">0.05</definedName>
    <definedName name="solver_typ" localSheetId="3" hidden="1">1</definedName>
    <definedName name="solver_typ" localSheetId="1" hidden="1">1</definedName>
    <definedName name="solver_typ" localSheetId="2" hidden="1">2</definedName>
    <definedName name="solver_typ" localSheetId="0" hidden="1">2</definedName>
    <definedName name="solver_val" localSheetId="3" hidden="1">0</definedName>
    <definedName name="solver_val" localSheetId="1" hidden="1">0</definedName>
    <definedName name="solver_val" localSheetId="2" hidden="1">0</definedName>
    <definedName name="solver_val" localSheetId="0" hidden="1">0</definedName>
    <definedName name="solver_ver" localSheetId="3" hidden="1">3</definedName>
    <definedName name="solver_ver" localSheetId="1" hidden="1">3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9" l="1"/>
  <c r="F11" i="9" s="1"/>
  <c r="E5" i="9"/>
  <c r="D5" i="9"/>
  <c r="B5" i="9"/>
  <c r="B4" i="9"/>
  <c r="H11" i="9" s="1"/>
  <c r="B3" i="9"/>
  <c r="G5" i="10"/>
  <c r="E5" i="10"/>
  <c r="D5" i="10"/>
  <c r="G5" i="8"/>
  <c r="E5" i="8"/>
  <c r="D5" i="8"/>
  <c r="B5" i="8"/>
  <c r="B4" i="8"/>
  <c r="B3" i="8"/>
  <c r="B5" i="10"/>
  <c r="B4" i="10"/>
  <c r="B3" i="10"/>
  <c r="I13" i="8"/>
  <c r="E12" i="7"/>
  <c r="F12" i="7"/>
  <c r="G12" i="7"/>
  <c r="E13" i="7"/>
  <c r="F13" i="7"/>
  <c r="G13" i="7"/>
  <c r="E14" i="7"/>
  <c r="F14" i="7"/>
  <c r="G14" i="7"/>
  <c r="E15" i="7"/>
  <c r="F15" i="7"/>
  <c r="G15" i="7"/>
  <c r="E16" i="7"/>
  <c r="F16" i="7"/>
  <c r="G16" i="7"/>
  <c r="E17" i="7"/>
  <c r="F17" i="7"/>
  <c r="G17" i="7"/>
  <c r="E18" i="7"/>
  <c r="F18" i="7"/>
  <c r="G18" i="7"/>
  <c r="E19" i="7"/>
  <c r="F19" i="7"/>
  <c r="G19" i="7"/>
  <c r="E20" i="7"/>
  <c r="F20" i="7"/>
  <c r="G20" i="7"/>
  <c r="F11" i="7"/>
  <c r="G11" i="7"/>
  <c r="E11" i="7"/>
  <c r="J13" i="8"/>
  <c r="H11" i="8"/>
  <c r="J15" i="8"/>
  <c r="I15" i="8"/>
  <c r="J14" i="8"/>
  <c r="I14" i="8"/>
  <c r="F11" i="10"/>
  <c r="H11" i="10"/>
  <c r="G11" i="8" l="1"/>
  <c r="F11" i="8" s="1"/>
  <c r="J5" i="7" a="1"/>
  <c r="J5" i="7" s="1"/>
  <c r="K5" i="7" l="1"/>
  <c r="L5" i="7"/>
  <c r="M5" i="7" s="1"/>
</calcChain>
</file>

<file path=xl/sharedStrings.xml><?xml version="1.0" encoding="utf-8"?>
<sst xmlns="http://schemas.openxmlformats.org/spreadsheetml/2006/main" count="57" uniqueCount="35">
  <si>
    <t>Виробництво</t>
  </si>
  <si>
    <t>K, Обсяг витрат капіталу</t>
  </si>
  <si>
    <t>L, Обсяг витрат трудових ресурсів</t>
  </si>
  <si>
    <t>A</t>
  </si>
  <si>
    <t>q=F(K,L), Обсяг випуску продукції</t>
  </si>
  <si>
    <t>Дохід</t>
  </si>
  <si>
    <t>Витрати</t>
  </si>
  <si>
    <t>K*</t>
  </si>
  <si>
    <t>L*</t>
  </si>
  <si>
    <t>p=</t>
  </si>
  <si>
    <t>q0=</t>
  </si>
  <si>
    <t>TC0=</t>
  </si>
  <si>
    <t>beta</t>
  </si>
  <si>
    <t>ln(K)</t>
  </si>
  <si>
    <t>ln(L)</t>
  </si>
  <si>
    <t>ln(F)</t>
  </si>
  <si>
    <t>alpha</t>
  </si>
  <si>
    <t>ln(A)</t>
  </si>
  <si>
    <t>Максимізація прибутку</t>
  </si>
  <si>
    <t>w(K)=</t>
  </si>
  <si>
    <t>w(L)=</t>
  </si>
  <si>
    <t>ПРИБУТОК</t>
  </si>
  <si>
    <t>короткостроковий період</t>
  </si>
  <si>
    <t>Обмеження на K*, L*</t>
  </si>
  <si>
    <t>ВИПУСК</t>
  </si>
  <si>
    <t>Максимізація випуску</t>
  </si>
  <si>
    <t>Витрати, TC</t>
  </si>
  <si>
    <t>Мінімізація витрат</t>
  </si>
  <si>
    <t>ВИТРАТИ</t>
  </si>
  <si>
    <t>Випуск</t>
  </si>
  <si>
    <t>За даним статистичних спостережень побудувати виробничу функцію                                                                                                   Знайти оптимальні витрати капіталу та праці для задач:                             1)максимізація прибутку                                                                                                                                   2) максимізація випуску продукції                                                                                     3) мінімізація витрат</t>
  </si>
  <si>
    <t>Цілі значення змінних</t>
  </si>
  <si>
    <t>max</t>
  </si>
  <si>
    <t>min</t>
  </si>
  <si>
    <t>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</si>
</sst>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₴&quot;"/>
  </numFmts>
  <fonts count="12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b/>
      <sz val="20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b/>
      <sz val="2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2" fillId="5" borderId="1" xfId="0" applyFont="1" applyFill="1" applyBorder="1" applyAlignment="1">
      <alignment horizontal="left" wrapText="1"/>
    </xf>
    <xf numFmtId="0" fontId="2" fillId="5" borderId="1" xfId="0" applyFont="1" applyFill="1" applyBorder="1"/>
    <xf numFmtId="0" fontId="2" fillId="6" borderId="1" xfId="0" applyFont="1" applyFill="1" applyBorder="1"/>
    <xf numFmtId="0" fontId="3" fillId="5" borderId="1" xfId="0" applyFont="1" applyFill="1" applyBorder="1" applyAlignment="1">
      <alignment horizontal="right"/>
    </xf>
    <xf numFmtId="0" fontId="3" fillId="5" borderId="1" xfId="0" applyFont="1" applyFill="1" applyBorder="1"/>
    <xf numFmtId="0" fontId="3" fillId="5" borderId="0" xfId="0" applyFont="1" applyFill="1" applyAlignment="1">
      <alignment horizontal="right"/>
    </xf>
    <xf numFmtId="0" fontId="3" fillId="5" borderId="0" xfId="0" applyFont="1" applyFill="1"/>
    <xf numFmtId="0" fontId="3" fillId="0" borderId="1" xfId="0" applyFont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right" vertical="center" wrapText="1"/>
    </xf>
    <xf numFmtId="164" fontId="4" fillId="5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0" fontId="4" fillId="6" borderId="1" xfId="0" applyFont="1" applyFill="1" applyBorder="1"/>
    <xf numFmtId="0" fontId="5" fillId="0" borderId="0" xfId="0" applyFont="1"/>
    <xf numFmtId="0" fontId="7" fillId="0" borderId="0" xfId="0" applyFont="1"/>
    <xf numFmtId="0" fontId="4" fillId="0" borderId="0" xfId="0" applyFont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6" borderId="1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164" fontId="4" fillId="0" borderId="1" xfId="0" applyNumberFormat="1" applyFont="1" applyBorder="1" applyAlignment="1">
      <alignment wrapText="1"/>
    </xf>
    <xf numFmtId="164" fontId="4" fillId="0" borderId="1" xfId="0" applyNumberFormat="1" applyFont="1" applyBorder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9" fillId="0" borderId="0" xfId="0" applyFont="1"/>
    <xf numFmtId="0" fontId="11" fillId="5" borderId="1" xfId="0" applyFont="1" applyFill="1" applyBorder="1" applyAlignment="1">
      <alignment horizontal="right" vertical="center" wrapText="1"/>
    </xf>
    <xf numFmtId="164" fontId="11" fillId="5" borderId="1" xfId="0" applyNumberFormat="1" applyFont="1" applyFill="1" applyBorder="1" applyAlignment="1">
      <alignment vertical="center" wrapText="1"/>
    </xf>
    <xf numFmtId="0" fontId="9" fillId="0" borderId="1" xfId="0" applyFont="1" applyBorder="1"/>
    <xf numFmtId="0" fontId="9" fillId="6" borderId="1" xfId="0" applyFont="1" applyFill="1" applyBorder="1"/>
    <xf numFmtId="0" fontId="11" fillId="0" borderId="0" xfId="0" applyFont="1"/>
    <xf numFmtId="0" fontId="9" fillId="0" borderId="0" xfId="0" applyFont="1" applyAlignment="1">
      <alignment horizontal="left" wrapText="1"/>
    </xf>
    <xf numFmtId="0" fontId="11" fillId="3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6" borderId="1" xfId="0" applyFont="1" applyFill="1" applyBorder="1" applyAlignment="1">
      <alignment horizontal="left" wrapText="1"/>
    </xf>
    <xf numFmtId="0" fontId="9" fillId="0" borderId="0" xfId="0" applyFont="1" applyAlignment="1">
      <alignment wrapText="1"/>
    </xf>
    <xf numFmtId="164" fontId="9" fillId="0" borderId="1" xfId="0" applyNumberFormat="1" applyFont="1" applyBorder="1"/>
    <xf numFmtId="0" fontId="10" fillId="0" borderId="0" xfId="0" applyFont="1"/>
    <xf numFmtId="0" fontId="11" fillId="5" borderId="1" xfId="0" applyFont="1" applyFill="1" applyBorder="1" applyAlignment="1">
      <alignment vertical="center" wrapText="1"/>
    </xf>
    <xf numFmtId="0" fontId="11" fillId="0" borderId="1" xfId="0" applyFont="1" applyBorder="1"/>
    <xf numFmtId="164" fontId="9" fillId="0" borderId="1" xfId="0" applyNumberFormat="1" applyFont="1" applyBorder="1" applyAlignment="1">
      <alignment wrapText="1"/>
    </xf>
    <xf numFmtId="164" fontId="9" fillId="0" borderId="0" xfId="0" applyNumberFormat="1" applyFont="1" applyAlignment="1">
      <alignment wrapText="1"/>
    </xf>
    <xf numFmtId="0" fontId="9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7" borderId="0" xfId="0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2" fillId="0" borderId="0" xfId="0" applyFont="1" applyAlignment="1"/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Alignment="1"/>
    <xf numFmtId="0" fontId="10" fillId="0" borderId="0" xfId="0" applyFont="1" applyFill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1</xdr:row>
      <xdr:rowOff>146050</xdr:rowOff>
    </xdr:from>
    <xdr:to>
      <xdr:col>4</xdr:col>
      <xdr:colOff>158750</xdr:colOff>
      <xdr:row>2</xdr:row>
      <xdr:rowOff>184150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3C02FD2-C116-4079-ABD2-745588751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450" y="342900"/>
          <a:ext cx="2279650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zoomScale="85" zoomScaleNormal="85" workbookViewId="0">
      <selection activeCell="K14" sqref="K14"/>
    </sheetView>
  </sheetViews>
  <sheetFormatPr defaultRowHeight="14.4" x14ac:dyDescent="0.3"/>
  <cols>
    <col min="1" max="1" width="4.21875" customWidth="1"/>
    <col min="2" max="2" width="12.5546875" customWidth="1"/>
    <col min="3" max="3" width="12.77734375" customWidth="1"/>
    <col min="4" max="4" width="12.44140625" customWidth="1"/>
    <col min="5" max="5" width="9.6640625" customWidth="1"/>
    <col min="6" max="6" width="11.21875" customWidth="1"/>
    <col min="7" max="7" width="11.33203125" customWidth="1"/>
    <col min="8" max="8" width="7.33203125" bestFit="1" customWidth="1"/>
    <col min="9" max="9" width="10.21875" customWidth="1"/>
  </cols>
  <sheetData>
    <row r="1" spans="1:14" ht="15.6" x14ac:dyDescent="0.3">
      <c r="A1" s="61" t="s">
        <v>30</v>
      </c>
      <c r="B1" s="61"/>
      <c r="C1" s="61"/>
      <c r="D1" s="61"/>
      <c r="E1" s="61"/>
      <c r="F1" s="61"/>
      <c r="G1" s="14" t="s">
        <v>9</v>
      </c>
      <c r="H1" s="15">
        <v>7</v>
      </c>
      <c r="I1" s="7"/>
      <c r="J1" s="3"/>
      <c r="K1" s="3"/>
      <c r="L1" s="3"/>
      <c r="M1" s="3"/>
      <c r="N1" s="3"/>
    </row>
    <row r="2" spans="1:14" ht="15.45" customHeight="1" x14ac:dyDescent="0.3">
      <c r="A2" s="61"/>
      <c r="B2" s="61"/>
      <c r="C2" s="61"/>
      <c r="D2" s="61"/>
      <c r="E2" s="61"/>
      <c r="F2" s="61"/>
      <c r="G2" s="14" t="s">
        <v>19</v>
      </c>
      <c r="H2" s="15">
        <v>2</v>
      </c>
      <c r="I2" s="7"/>
      <c r="J2" s="66"/>
      <c r="K2" s="66"/>
      <c r="N2" s="3"/>
    </row>
    <row r="3" spans="1:14" ht="15.45" customHeight="1" x14ac:dyDescent="0.3">
      <c r="A3" s="61"/>
      <c r="B3" s="61"/>
      <c r="C3" s="61"/>
      <c r="D3" s="61"/>
      <c r="E3" s="61"/>
      <c r="F3" s="61"/>
      <c r="G3" s="14" t="s">
        <v>20</v>
      </c>
      <c r="H3" s="15">
        <v>4</v>
      </c>
      <c r="I3" s="7"/>
      <c r="J3" s="3"/>
      <c r="K3" s="3"/>
      <c r="L3" s="3"/>
      <c r="M3" s="3"/>
      <c r="N3" s="3"/>
    </row>
    <row r="4" spans="1:14" x14ac:dyDescent="0.3">
      <c r="A4" s="61"/>
      <c r="B4" s="61"/>
      <c r="C4" s="61"/>
      <c r="D4" s="61"/>
      <c r="E4" s="61"/>
      <c r="F4" s="61"/>
      <c r="G4" s="16"/>
      <c r="H4" s="17"/>
      <c r="I4" s="7"/>
      <c r="J4" s="4" t="s">
        <v>12</v>
      </c>
      <c r="K4" s="4" t="s">
        <v>16</v>
      </c>
      <c r="L4" s="9" t="s">
        <v>17</v>
      </c>
      <c r="M4" s="4" t="s">
        <v>3</v>
      </c>
      <c r="N4" s="3"/>
    </row>
    <row r="5" spans="1:14" ht="15.6" x14ac:dyDescent="0.3">
      <c r="A5" s="61"/>
      <c r="B5" s="61"/>
      <c r="C5" s="61"/>
      <c r="D5" s="61"/>
      <c r="E5" s="61"/>
      <c r="F5" s="61"/>
      <c r="G5" s="14" t="s">
        <v>11</v>
      </c>
      <c r="H5" s="15">
        <v>87000</v>
      </c>
      <c r="I5" s="7"/>
      <c r="J5" s="13">
        <f t="array" ref="J5:L5">LINEST(G11:G20,E11:F20,1,0)</f>
        <v>0.63191821655395319</v>
      </c>
      <c r="K5" s="13">
        <v>0.29237290142328021</v>
      </c>
      <c r="L5" s="5">
        <v>2.617947744010757</v>
      </c>
      <c r="M5" s="13">
        <f>EXP(L5)</f>
        <v>13.70756327005514</v>
      </c>
      <c r="N5" s="3"/>
    </row>
    <row r="6" spans="1:14" ht="15.6" x14ac:dyDescent="0.3">
      <c r="A6" s="61"/>
      <c r="B6" s="61"/>
      <c r="C6" s="61"/>
      <c r="D6" s="61"/>
      <c r="E6" s="61"/>
      <c r="F6" s="61"/>
      <c r="G6" s="14" t="s">
        <v>10</v>
      </c>
      <c r="H6" s="15">
        <v>68500</v>
      </c>
      <c r="I6" s="7"/>
      <c r="N6" s="3"/>
    </row>
    <row r="7" spans="1:14" ht="25.5" customHeight="1" x14ac:dyDescent="0.3">
      <c r="A7" s="61"/>
      <c r="B7" s="61"/>
      <c r="C7" s="61"/>
      <c r="D7" s="61"/>
      <c r="E7" s="61"/>
      <c r="F7" s="61"/>
      <c r="G7" s="3"/>
      <c r="H7" s="3"/>
      <c r="I7" s="3"/>
      <c r="N7" s="3"/>
    </row>
    <row r="8" spans="1:14" ht="15.6" x14ac:dyDescent="0.3">
      <c r="A8" s="3"/>
      <c r="B8" s="3"/>
      <c r="C8" s="3"/>
      <c r="D8" s="3"/>
      <c r="E8" s="3"/>
      <c r="F8" s="3"/>
      <c r="G8" s="3"/>
      <c r="H8" s="3"/>
      <c r="I8" s="3"/>
      <c r="J8" s="60"/>
      <c r="K8" s="60"/>
      <c r="L8" s="60"/>
      <c r="M8" s="60"/>
      <c r="N8" s="3"/>
    </row>
    <row r="9" spans="1:14" ht="15.6" x14ac:dyDescent="0.3">
      <c r="A9" s="6" t="s">
        <v>0</v>
      </c>
      <c r="B9" s="3"/>
      <c r="C9" s="3"/>
      <c r="D9" s="3"/>
      <c r="E9" s="3"/>
      <c r="F9" s="3"/>
      <c r="G9" s="3"/>
      <c r="H9" s="3"/>
      <c r="J9" s="59"/>
      <c r="K9" s="59"/>
      <c r="L9" s="59"/>
      <c r="M9" s="59"/>
      <c r="N9" s="3"/>
    </row>
    <row r="10" spans="1:14" ht="68.25" customHeight="1" x14ac:dyDescent="0.3">
      <c r="A10" s="3"/>
      <c r="B10" s="11" t="s">
        <v>1</v>
      </c>
      <c r="C10" s="11" t="s">
        <v>2</v>
      </c>
      <c r="D10" s="11" t="s">
        <v>4</v>
      </c>
      <c r="E10" s="18" t="s">
        <v>13</v>
      </c>
      <c r="F10" s="18" t="s">
        <v>14</v>
      </c>
      <c r="G10" s="18" t="s">
        <v>15</v>
      </c>
      <c r="H10" s="3"/>
      <c r="I10" s="3"/>
      <c r="J10" s="60"/>
      <c r="K10" s="60"/>
      <c r="L10" s="60"/>
      <c r="M10" s="60"/>
      <c r="N10" s="3"/>
    </row>
    <row r="11" spans="1:14" ht="15.6" x14ac:dyDescent="0.3">
      <c r="A11" s="3"/>
      <c r="B11" s="12">
        <v>2885</v>
      </c>
      <c r="C11" s="12">
        <v>10680</v>
      </c>
      <c r="D11" s="12">
        <v>49945</v>
      </c>
      <c r="E11" s="8">
        <f>LN(B11)</f>
        <v>7.9672801789422003</v>
      </c>
      <c r="F11" s="8">
        <f t="shared" ref="F11:G11" si="0">LN(C11)</f>
        <v>9.2761281125141863</v>
      </c>
      <c r="G11" s="8">
        <f t="shared" si="0"/>
        <v>10.81867767896625</v>
      </c>
      <c r="H11" s="3"/>
      <c r="I11" s="3"/>
      <c r="J11" s="3"/>
      <c r="K11" s="3"/>
      <c r="L11" s="3"/>
      <c r="M11" s="3"/>
      <c r="N11" s="3"/>
    </row>
    <row r="12" spans="1:14" ht="15.6" x14ac:dyDescent="0.3">
      <c r="A12" s="3"/>
      <c r="B12" s="12">
        <v>2765</v>
      </c>
      <c r="C12" s="12">
        <v>10310</v>
      </c>
      <c r="D12" s="12">
        <v>47775</v>
      </c>
      <c r="E12" s="8">
        <f t="shared" ref="E12:E20" si="1">LN(B12)</f>
        <v>7.9247959139564355</v>
      </c>
      <c r="F12" s="8">
        <f t="shared" ref="F12:F20" si="2">LN(C12)</f>
        <v>9.2408695770110061</v>
      </c>
      <c r="G12" s="8">
        <f t="shared" ref="G12:G20" si="3">LN(D12)</f>
        <v>10.774257769108473</v>
      </c>
      <c r="H12" s="3"/>
      <c r="I12" s="3"/>
      <c r="J12" s="60"/>
      <c r="K12" s="60"/>
      <c r="L12" s="60"/>
      <c r="M12" s="3"/>
      <c r="N12" s="3"/>
    </row>
    <row r="13" spans="1:14" ht="15.6" x14ac:dyDescent="0.3">
      <c r="A13" s="3"/>
      <c r="B13" s="12">
        <v>2975</v>
      </c>
      <c r="C13" s="12">
        <v>10680</v>
      </c>
      <c r="D13" s="12">
        <v>50575</v>
      </c>
      <c r="E13" s="8">
        <f t="shared" si="1"/>
        <v>7.9979993179797297</v>
      </c>
      <c r="F13" s="8">
        <f t="shared" si="2"/>
        <v>9.2761281125141863</v>
      </c>
      <c r="G13" s="8">
        <f t="shared" si="3"/>
        <v>10.831212662035947</v>
      </c>
      <c r="H13" s="3"/>
      <c r="I13" s="3"/>
      <c r="J13" s="3"/>
      <c r="K13" s="3"/>
      <c r="L13" s="3"/>
      <c r="M13" s="3"/>
      <c r="N13" s="3"/>
    </row>
    <row r="14" spans="1:14" ht="15.6" x14ac:dyDescent="0.3">
      <c r="A14" s="3"/>
      <c r="B14" s="12">
        <v>2905</v>
      </c>
      <c r="C14" s="12">
        <v>10800</v>
      </c>
      <c r="D14" s="12">
        <v>50595</v>
      </c>
      <c r="E14" s="8">
        <f t="shared" si="1"/>
        <v>7.9741886692860113</v>
      </c>
      <c r="F14" s="8">
        <f t="shared" si="2"/>
        <v>9.2873014131123117</v>
      </c>
      <c r="G14" s="8">
        <f t="shared" si="3"/>
        <v>10.83160803616386</v>
      </c>
      <c r="H14" s="3"/>
      <c r="I14" s="3"/>
      <c r="J14" s="3"/>
      <c r="K14" s="3"/>
      <c r="L14" s="3"/>
      <c r="M14" s="3"/>
      <c r="N14" s="3"/>
    </row>
    <row r="15" spans="1:14" ht="15.6" x14ac:dyDescent="0.3">
      <c r="A15" s="3"/>
      <c r="B15" s="12">
        <v>2535</v>
      </c>
      <c r="C15" s="12">
        <v>10540</v>
      </c>
      <c r="D15" s="12">
        <v>47845</v>
      </c>
      <c r="E15" s="8">
        <f t="shared" si="1"/>
        <v>7.8379489160252831</v>
      </c>
      <c r="F15" s="8">
        <f t="shared" si="2"/>
        <v>9.2629328220953528</v>
      </c>
      <c r="G15" s="8">
        <f t="shared" si="3"/>
        <v>10.775721898213364</v>
      </c>
      <c r="H15" s="3"/>
      <c r="I15" s="3"/>
      <c r="J15" s="3"/>
      <c r="K15" s="3"/>
      <c r="L15" s="3"/>
      <c r="M15" s="3"/>
      <c r="N15" s="3"/>
    </row>
    <row r="16" spans="1:14" ht="15.6" x14ac:dyDescent="0.3">
      <c r="A16" s="3"/>
      <c r="B16" s="12">
        <v>2715</v>
      </c>
      <c r="C16" s="12">
        <v>10420</v>
      </c>
      <c r="D16" s="12">
        <v>47925</v>
      </c>
      <c r="E16" s="8">
        <f t="shared" si="1"/>
        <v>7.9065472323680357</v>
      </c>
      <c r="F16" s="8">
        <f t="shared" si="2"/>
        <v>9.2514823153073582</v>
      </c>
      <c r="G16" s="8">
        <f t="shared" si="3"/>
        <v>10.777392567913845</v>
      </c>
      <c r="H16" s="3"/>
      <c r="I16" s="3"/>
      <c r="J16" s="3"/>
      <c r="K16" s="3"/>
      <c r="L16" s="3"/>
      <c r="M16" s="3"/>
      <c r="N16" s="3"/>
    </row>
    <row r="17" spans="1:14" ht="15.6" x14ac:dyDescent="0.3">
      <c r="A17" s="3"/>
      <c r="B17" s="12">
        <v>3015</v>
      </c>
      <c r="C17" s="12">
        <v>10940</v>
      </c>
      <c r="D17" s="12">
        <v>51925</v>
      </c>
      <c r="E17" s="8">
        <f t="shared" si="1"/>
        <v>8.0113551091612862</v>
      </c>
      <c r="F17" s="8">
        <f t="shared" si="2"/>
        <v>9.3001810759759724</v>
      </c>
      <c r="G17" s="8">
        <f t="shared" si="3"/>
        <v>10.857555648744313</v>
      </c>
      <c r="H17" s="3"/>
      <c r="I17" s="3"/>
      <c r="J17" s="3"/>
      <c r="K17" s="3"/>
      <c r="L17" s="3"/>
      <c r="M17" s="3"/>
      <c r="N17" s="3"/>
    </row>
    <row r="18" spans="1:14" ht="15.6" x14ac:dyDescent="0.3">
      <c r="A18" s="3"/>
      <c r="B18" s="12">
        <v>2875</v>
      </c>
      <c r="C18" s="12">
        <v>10710</v>
      </c>
      <c r="D18" s="12">
        <v>45995</v>
      </c>
      <c r="E18" s="8">
        <f t="shared" si="1"/>
        <v>7.9638079532314512</v>
      </c>
      <c r="F18" s="8">
        <f t="shared" si="2"/>
        <v>9.2789331634417938</v>
      </c>
      <c r="G18" s="8">
        <f t="shared" si="3"/>
        <v>10.736287973911258</v>
      </c>
      <c r="H18" s="3"/>
      <c r="I18" s="3"/>
      <c r="J18" s="3"/>
      <c r="K18" s="3"/>
      <c r="L18" s="3"/>
      <c r="M18" s="3"/>
      <c r="N18" s="3"/>
    </row>
    <row r="19" spans="1:14" ht="15.6" x14ac:dyDescent="0.3">
      <c r="A19" s="3"/>
      <c r="B19" s="12">
        <v>3025</v>
      </c>
      <c r="C19" s="12">
        <v>9900</v>
      </c>
      <c r="D19" s="12">
        <v>48055</v>
      </c>
      <c r="E19" s="8">
        <f t="shared" si="1"/>
        <v>8.0146663704649423</v>
      </c>
      <c r="F19" s="8">
        <f t="shared" si="2"/>
        <v>9.2002900361226807</v>
      </c>
      <c r="G19" s="8">
        <f t="shared" si="3"/>
        <v>10.780101467257385</v>
      </c>
      <c r="H19" s="3"/>
      <c r="I19" s="3"/>
      <c r="J19" s="3"/>
      <c r="K19" s="3"/>
      <c r="L19" s="3"/>
      <c r="M19" s="3"/>
      <c r="N19" s="3"/>
    </row>
    <row r="20" spans="1:14" ht="15.6" x14ac:dyDescent="0.3">
      <c r="A20" s="3"/>
      <c r="B20" s="12">
        <v>3095</v>
      </c>
      <c r="C20" s="12">
        <v>9930</v>
      </c>
      <c r="D20" s="12">
        <v>48125</v>
      </c>
      <c r="E20" s="8">
        <f t="shared" si="1"/>
        <v>8.0375431851186967</v>
      </c>
      <c r="F20" s="8">
        <f t="shared" si="2"/>
        <v>9.2033157570392188</v>
      </c>
      <c r="G20" s="8">
        <f t="shared" si="3"/>
        <v>10.781557071590086</v>
      </c>
      <c r="H20" s="3"/>
      <c r="I20" s="3"/>
      <c r="J20" s="3"/>
      <c r="K20" s="3"/>
      <c r="L20" s="3"/>
      <c r="M20" s="3"/>
      <c r="N20" s="3"/>
    </row>
    <row r="21" spans="1:14" x14ac:dyDescent="0.3">
      <c r="G21" s="1"/>
    </row>
  </sheetData>
  <mergeCells count="5">
    <mergeCell ref="J9:M9"/>
    <mergeCell ref="J10:M10"/>
    <mergeCell ref="J12:L12"/>
    <mergeCell ref="A1:F7"/>
    <mergeCell ref="J8:M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1"/>
  <sheetViews>
    <sheetView zoomScale="70" zoomScaleNormal="70" workbookViewId="0">
      <selection activeCell="G21" sqref="G21"/>
    </sheetView>
  </sheetViews>
  <sheetFormatPr defaultRowHeight="21" x14ac:dyDescent="0.4"/>
  <cols>
    <col min="1" max="1" width="9.21875" style="2"/>
    <col min="2" max="2" width="6.33203125" style="2" bestFit="1" customWidth="1"/>
    <col min="3" max="3" width="12.77734375" style="2" customWidth="1"/>
    <col min="4" max="4" width="12.44140625" style="2" customWidth="1"/>
    <col min="5" max="5" width="11.33203125" style="2" customWidth="1"/>
    <col min="6" max="6" width="18.6640625" style="2" customWidth="1"/>
    <col min="7" max="7" width="15.77734375" style="2" customWidth="1"/>
    <col min="8" max="8" width="15.44140625" style="2" customWidth="1"/>
    <col min="9" max="9" width="11.5546875" style="2" customWidth="1"/>
    <col min="10" max="11" width="11.77734375" style="2" customWidth="1"/>
    <col min="12" max="12" width="9.21875" style="2"/>
  </cols>
  <sheetData>
    <row r="1" spans="1:15" ht="31.2" x14ac:dyDescent="0.3">
      <c r="A1" s="62" t="s">
        <v>18</v>
      </c>
      <c r="B1" s="62"/>
      <c r="C1" s="62"/>
      <c r="D1" s="62"/>
      <c r="E1" s="62"/>
      <c r="F1" s="19" t="s">
        <v>22</v>
      </c>
      <c r="G1" s="20"/>
      <c r="H1" s="21"/>
      <c r="I1" s="67"/>
      <c r="J1" s="67"/>
      <c r="K1" s="67"/>
      <c r="L1" s="67"/>
      <c r="M1" s="3"/>
      <c r="N1" s="3"/>
      <c r="O1" s="3"/>
    </row>
    <row r="2" spans="1:15" x14ac:dyDescent="0.4">
      <c r="A2" s="22"/>
      <c r="B2" s="22"/>
      <c r="C2" s="22"/>
      <c r="D2" s="22"/>
      <c r="E2" s="22"/>
      <c r="F2" s="22"/>
      <c r="G2" s="20"/>
      <c r="H2" s="21"/>
      <c r="I2" s="68"/>
      <c r="J2" s="68"/>
      <c r="K2" s="68"/>
      <c r="L2" s="68"/>
      <c r="M2" s="3"/>
      <c r="N2" s="3"/>
      <c r="O2" s="3"/>
    </row>
    <row r="3" spans="1:15" ht="15.6" x14ac:dyDescent="0.3">
      <c r="A3" s="23" t="s">
        <v>9</v>
      </c>
      <c r="B3" s="24">
        <f>УМОВА_ЛИНЕЙН!H1</f>
        <v>7</v>
      </c>
      <c r="C3" s="22"/>
      <c r="D3" s="22"/>
      <c r="E3" s="22"/>
      <c r="F3" s="22"/>
      <c r="G3" s="20"/>
      <c r="H3" s="21"/>
      <c r="I3" s="67"/>
      <c r="J3" s="67"/>
      <c r="K3" s="69"/>
      <c r="L3" s="69"/>
      <c r="M3" s="3"/>
      <c r="N3" s="3"/>
      <c r="O3" s="3"/>
    </row>
    <row r="4" spans="1:15" ht="15.6" x14ac:dyDescent="0.3">
      <c r="A4" s="23" t="s">
        <v>19</v>
      </c>
      <c r="B4" s="24">
        <f>УМОВА_ЛИНЕЙН!H2</f>
        <v>2</v>
      </c>
      <c r="C4" s="22"/>
      <c r="D4" s="25" t="s">
        <v>12</v>
      </c>
      <c r="E4" s="25" t="s">
        <v>16</v>
      </c>
      <c r="F4" s="25"/>
      <c r="G4" s="25" t="s">
        <v>3</v>
      </c>
      <c r="H4" s="21"/>
      <c r="I4" s="67"/>
      <c r="J4" s="67"/>
      <c r="K4" s="69"/>
      <c r="L4" s="69"/>
      <c r="M4" s="3"/>
      <c r="N4" s="3"/>
      <c r="O4" s="3"/>
    </row>
    <row r="5" spans="1:15" ht="15.6" x14ac:dyDescent="0.3">
      <c r="A5" s="23" t="s">
        <v>20</v>
      </c>
      <c r="B5" s="24">
        <f>УМОВА_ЛИНЕЙН!H3</f>
        <v>4</v>
      </c>
      <c r="C5" s="22"/>
      <c r="D5" s="26">
        <f>УМОВА_ЛИНЕЙН!J5</f>
        <v>0.63191821655395319</v>
      </c>
      <c r="E5" s="26">
        <f>УМОВА_ЛИНЕЙН!K5</f>
        <v>0.29237290142328021</v>
      </c>
      <c r="F5" s="25"/>
      <c r="G5" s="26">
        <f>УМОВА_ЛИНЕЙН!M5</f>
        <v>13.70756327005514</v>
      </c>
      <c r="H5" s="21"/>
      <c r="I5" s="21"/>
      <c r="J5" s="21"/>
      <c r="K5" s="21"/>
      <c r="L5" s="21"/>
      <c r="M5" s="3"/>
      <c r="N5" s="3"/>
      <c r="O5" s="3"/>
    </row>
    <row r="6" spans="1:15" x14ac:dyDescent="0.4">
      <c r="A6" s="22"/>
      <c r="B6" s="22"/>
      <c r="C6" s="22"/>
      <c r="D6" s="22"/>
      <c r="E6" s="22"/>
      <c r="F6" s="22"/>
      <c r="G6" s="20"/>
      <c r="H6" s="21"/>
      <c r="I6" s="27"/>
      <c r="J6" s="27"/>
      <c r="K6" s="27"/>
      <c r="L6" s="27"/>
      <c r="M6" s="3"/>
      <c r="N6" s="3"/>
      <c r="O6" s="3"/>
    </row>
    <row r="7" spans="1:15" x14ac:dyDescent="0.4">
      <c r="A7" s="70"/>
      <c r="B7" s="70"/>
      <c r="C7" s="70"/>
      <c r="D7" s="70"/>
      <c r="E7" s="22"/>
      <c r="F7" s="22"/>
      <c r="G7" s="21"/>
      <c r="H7" s="21"/>
      <c r="I7" s="27"/>
      <c r="J7" s="27"/>
      <c r="K7" s="27"/>
      <c r="L7" s="27"/>
      <c r="M7" s="3"/>
      <c r="N7" s="3"/>
      <c r="O7" s="3"/>
    </row>
    <row r="8" spans="1:15" ht="15.6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3"/>
      <c r="N8" s="3"/>
      <c r="O8" s="3"/>
    </row>
    <row r="9" spans="1:15" ht="15.6" x14ac:dyDescent="0.3">
      <c r="A9" s="28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3"/>
      <c r="N9" s="3"/>
      <c r="O9" s="3"/>
    </row>
    <row r="10" spans="1:15" ht="15.6" x14ac:dyDescent="0.3">
      <c r="A10" s="21"/>
      <c r="B10" s="29"/>
      <c r="C10" s="29"/>
      <c r="D10" s="29"/>
      <c r="E10" s="21"/>
      <c r="F10" s="30" t="s">
        <v>21</v>
      </c>
      <c r="G10" s="31" t="s">
        <v>5</v>
      </c>
      <c r="H10" s="31" t="s">
        <v>6</v>
      </c>
      <c r="I10" s="32" t="s">
        <v>7</v>
      </c>
      <c r="J10" s="32" t="s">
        <v>8</v>
      </c>
      <c r="K10" s="29"/>
      <c r="L10" s="21"/>
      <c r="M10" s="3"/>
      <c r="N10" s="3"/>
      <c r="O10" s="3"/>
    </row>
    <row r="11" spans="1:15" ht="15.6" x14ac:dyDescent="0.3">
      <c r="A11" s="21"/>
      <c r="B11" s="21"/>
      <c r="C11" s="21"/>
      <c r="D11" s="21"/>
      <c r="E11" s="33"/>
      <c r="F11" s="34">
        <f>G11-H11</f>
        <v>308940.12192953849</v>
      </c>
      <c r="G11" s="35">
        <f>B3*G5*I11^E5*J11^D5</f>
        <v>358890.12192953849</v>
      </c>
      <c r="H11" s="35">
        <f>B4*I11+B5*J11</f>
        <v>49950</v>
      </c>
      <c r="I11" s="25">
        <v>3095</v>
      </c>
      <c r="J11" s="25">
        <v>10940</v>
      </c>
      <c r="K11" s="21"/>
      <c r="L11" s="21"/>
      <c r="M11" s="3"/>
      <c r="N11" s="3"/>
      <c r="O11" s="3"/>
    </row>
    <row r="12" spans="1:15" ht="15.6" x14ac:dyDescent="0.3">
      <c r="A12" s="21"/>
      <c r="B12" s="21"/>
      <c r="C12" s="21"/>
      <c r="D12" s="21"/>
      <c r="E12" s="33"/>
      <c r="F12" s="33"/>
      <c r="G12" s="33"/>
      <c r="H12" s="21"/>
      <c r="I12" s="21"/>
      <c r="J12" s="21"/>
      <c r="K12" s="21"/>
      <c r="L12" s="21"/>
      <c r="M12" s="3"/>
      <c r="N12" s="3"/>
      <c r="O12" s="3"/>
    </row>
    <row r="13" spans="1:15" ht="15.6" x14ac:dyDescent="0.3">
      <c r="A13" s="21"/>
      <c r="B13" s="21"/>
      <c r="C13" s="21"/>
      <c r="D13" s="21"/>
      <c r="E13" s="33"/>
      <c r="F13" s="33"/>
      <c r="G13" s="63" t="s">
        <v>23</v>
      </c>
      <c r="H13" s="63"/>
      <c r="I13" s="58">
        <f>MAX(УМОВА_ЛИНЕЙН!B11:B20)</f>
        <v>3095</v>
      </c>
      <c r="J13" s="58">
        <f>MAX(УМОВА_ЛИНЕЙН!C11:C20)</f>
        <v>10940</v>
      </c>
      <c r="K13" s="21" t="s">
        <v>32</v>
      </c>
      <c r="L13" s="21"/>
      <c r="M13" s="3"/>
      <c r="N13" s="3"/>
      <c r="O13" s="3"/>
    </row>
    <row r="14" spans="1:15" ht="15.6" x14ac:dyDescent="0.3">
      <c r="A14" s="21"/>
      <c r="B14" s="21"/>
      <c r="C14" s="21"/>
      <c r="D14" s="21"/>
      <c r="E14" s="33"/>
      <c r="F14" s="33"/>
      <c r="G14" s="33"/>
      <c r="H14" s="21"/>
      <c r="I14" s="21">
        <f>MIN(УМОВА_ЛИНЕЙН!B11:B20)</f>
        <v>2535</v>
      </c>
      <c r="J14" s="21">
        <f>MIN(УМОВА_ЛИНЕЙН!C11:C20)</f>
        <v>9900</v>
      </c>
      <c r="K14" s="21" t="s">
        <v>33</v>
      </c>
      <c r="L14" s="21"/>
      <c r="M14" s="3"/>
      <c r="N14" s="3"/>
      <c r="O14" s="3"/>
    </row>
    <row r="15" spans="1:15" ht="15.6" x14ac:dyDescent="0.3">
      <c r="A15" s="21"/>
      <c r="B15" s="21"/>
      <c r="C15" s="21"/>
      <c r="D15" s="21"/>
      <c r="E15" s="33"/>
      <c r="F15" s="33"/>
      <c r="G15" s="33"/>
      <c r="H15" s="21"/>
      <c r="I15" s="21">
        <f>AVERAGE(УМОВА_ЛИНЕЙН!B11:B20)</f>
        <v>2879</v>
      </c>
      <c r="J15" s="21">
        <f>AVERAGE(УМОВА_ЛИНЕЙН!C11:C20)</f>
        <v>10491</v>
      </c>
      <c r="K15" s="21" t="s">
        <v>34</v>
      </c>
      <c r="L15" s="21"/>
      <c r="M15" s="3"/>
      <c r="N15" s="3"/>
      <c r="O15" s="3"/>
    </row>
    <row r="16" spans="1:15" ht="15.6" x14ac:dyDescent="0.3">
      <c r="A16" s="21"/>
      <c r="B16" s="21"/>
      <c r="C16" s="21"/>
      <c r="D16" s="21"/>
      <c r="E16" s="33"/>
      <c r="F16" s="33"/>
      <c r="G16" s="33"/>
      <c r="H16" s="21"/>
      <c r="I16" s="21"/>
      <c r="J16" s="21"/>
      <c r="K16" s="21"/>
      <c r="L16" s="21"/>
      <c r="M16" s="3"/>
      <c r="N16" s="3"/>
      <c r="O16" s="3"/>
    </row>
    <row r="17" spans="1:15" ht="15.6" x14ac:dyDescent="0.3">
      <c r="A17" s="3"/>
      <c r="B17" s="3"/>
      <c r="C17" s="3"/>
      <c r="D17" s="3"/>
      <c r="E17" s="10"/>
      <c r="F17" s="10"/>
      <c r="G17" s="10"/>
      <c r="H17" s="3"/>
      <c r="I17" s="3"/>
      <c r="J17" s="3"/>
      <c r="K17" s="3"/>
      <c r="L17" s="3"/>
      <c r="M17" s="3"/>
      <c r="N17" s="3"/>
      <c r="O17" s="3"/>
    </row>
    <row r="18" spans="1:15" ht="15.6" x14ac:dyDescent="0.3">
      <c r="A18" s="3"/>
      <c r="B18" s="3"/>
      <c r="C18" s="56"/>
      <c r="D18" s="56"/>
      <c r="E18" s="57"/>
      <c r="F18" s="56"/>
      <c r="G18" s="10"/>
      <c r="H18" s="3"/>
      <c r="I18" s="3"/>
      <c r="J18" s="3"/>
      <c r="K18" s="3"/>
      <c r="L18" s="3"/>
      <c r="M18" s="3"/>
      <c r="N18" s="3"/>
      <c r="O18" s="3"/>
    </row>
    <row r="19" spans="1:15" ht="15.6" x14ac:dyDescent="0.3">
      <c r="A19" s="3"/>
      <c r="B19" s="3"/>
      <c r="C19" s="3"/>
      <c r="D19" s="3"/>
      <c r="E19" s="3"/>
      <c r="F19" s="3"/>
      <c r="G19" s="10"/>
      <c r="H19" s="3"/>
      <c r="I19" s="3"/>
      <c r="J19" s="3"/>
      <c r="K19" s="3"/>
      <c r="L19" s="3"/>
      <c r="M19" s="3"/>
      <c r="N19" s="3"/>
      <c r="O19" s="3"/>
    </row>
    <row r="20" spans="1:15" ht="15.6" x14ac:dyDescent="0.3">
      <c r="A20" s="3"/>
      <c r="B20" s="3"/>
      <c r="C20" s="3"/>
      <c r="D20" s="3"/>
      <c r="E20" s="10"/>
      <c r="F20" s="10"/>
      <c r="G20" s="10"/>
      <c r="H20" s="3"/>
      <c r="I20" s="3"/>
      <c r="J20" s="3"/>
      <c r="K20" s="3"/>
      <c r="L20" s="3"/>
      <c r="M20" s="3"/>
      <c r="N20" s="3"/>
      <c r="O20" s="3"/>
    </row>
    <row r="21" spans="1:15" ht="15.6" x14ac:dyDescent="0.3">
      <c r="A21" s="3"/>
      <c r="B21" s="3"/>
      <c r="C21" s="3"/>
      <c r="D21" s="3"/>
      <c r="E21" s="3"/>
      <c r="F21" s="3"/>
      <c r="G21" s="10"/>
      <c r="H21" s="3"/>
      <c r="I21" s="3"/>
      <c r="J21" s="3"/>
      <c r="K21" s="3"/>
      <c r="L21" s="3"/>
      <c r="M21" s="3"/>
      <c r="N21" s="3"/>
      <c r="O21" s="3"/>
    </row>
  </sheetData>
  <dataConsolidate/>
  <mergeCells count="6">
    <mergeCell ref="A1:E1"/>
    <mergeCell ref="G13:H13"/>
    <mergeCell ref="I2:L2"/>
    <mergeCell ref="I1:L1"/>
    <mergeCell ref="I3:J3"/>
    <mergeCell ref="I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1"/>
  <sheetViews>
    <sheetView zoomScale="70" zoomScaleNormal="70" workbookViewId="0">
      <selection activeCell="I25" sqref="I25"/>
    </sheetView>
  </sheetViews>
  <sheetFormatPr defaultRowHeight="21" x14ac:dyDescent="0.4"/>
  <cols>
    <col min="1" max="1" width="6.77734375" style="2" bestFit="1" customWidth="1"/>
    <col min="2" max="2" width="8.77734375" style="2" customWidth="1"/>
    <col min="3" max="3" width="9.21875" style="2" customWidth="1"/>
    <col min="4" max="4" width="12.21875" style="2" customWidth="1"/>
    <col min="5" max="5" width="12.5546875" style="2" customWidth="1"/>
    <col min="6" max="6" width="13.21875" style="2" customWidth="1"/>
    <col min="7" max="7" width="14.5546875" style="2" customWidth="1"/>
    <col min="8" max="8" width="12" style="2" customWidth="1"/>
    <col min="9" max="10" width="11.5546875" style="2" customWidth="1"/>
    <col min="11" max="11" width="11.77734375" style="2" customWidth="1"/>
    <col min="12" max="12" width="12.109375" style="2" bestFit="1" customWidth="1"/>
  </cols>
  <sheetData>
    <row r="1" spans="1:15" ht="25.8" x14ac:dyDescent="0.35">
      <c r="A1" s="64" t="s">
        <v>27</v>
      </c>
      <c r="B1" s="64"/>
      <c r="C1" s="64"/>
      <c r="D1" s="64"/>
      <c r="E1" s="64"/>
      <c r="F1" s="36"/>
      <c r="G1" s="37"/>
      <c r="H1" s="38"/>
      <c r="I1" s="71"/>
      <c r="J1" s="71"/>
      <c r="K1" s="50"/>
      <c r="L1" s="38"/>
      <c r="M1" s="38"/>
      <c r="N1" s="3"/>
      <c r="O1" s="3"/>
    </row>
    <row r="2" spans="1:15" x14ac:dyDescent="0.4">
      <c r="A2" s="36"/>
      <c r="B2" s="36"/>
      <c r="C2" s="36"/>
      <c r="D2" s="36"/>
      <c r="E2" s="36"/>
      <c r="F2" s="36"/>
      <c r="G2" s="37"/>
      <c r="H2" s="38"/>
      <c r="I2" s="71"/>
      <c r="J2" s="71"/>
      <c r="K2" s="50"/>
      <c r="M2" s="38"/>
      <c r="N2" s="3"/>
      <c r="O2" s="3"/>
    </row>
    <row r="3" spans="1:15" ht="18" x14ac:dyDescent="0.35">
      <c r="A3" s="39" t="s">
        <v>10</v>
      </c>
      <c r="B3" s="51">
        <f>УМОВА_ЛИНЕЙН!H6</f>
        <v>68500</v>
      </c>
      <c r="C3" s="36"/>
      <c r="D3" s="36"/>
      <c r="E3" s="36"/>
      <c r="F3" s="36"/>
      <c r="G3" s="37"/>
      <c r="H3" s="38"/>
      <c r="I3" s="71"/>
      <c r="J3" s="71"/>
      <c r="K3" s="50"/>
      <c r="L3" s="38"/>
      <c r="M3" s="38"/>
      <c r="N3" s="3"/>
      <c r="O3" s="3"/>
    </row>
    <row r="4" spans="1:15" ht="18" x14ac:dyDescent="0.35">
      <c r="A4" s="39" t="s">
        <v>19</v>
      </c>
      <c r="B4" s="40">
        <f>УМОВА_ЛИНЕЙН!H2</f>
        <v>2</v>
      </c>
      <c r="C4" s="36"/>
      <c r="D4" s="52" t="s">
        <v>12</v>
      </c>
      <c r="E4" s="52" t="s">
        <v>16</v>
      </c>
      <c r="F4" s="41"/>
      <c r="G4" s="52" t="s">
        <v>3</v>
      </c>
      <c r="H4" s="38"/>
      <c r="I4" s="71"/>
      <c r="J4" s="71"/>
      <c r="K4" s="50"/>
      <c r="L4" s="38"/>
      <c r="M4" s="38"/>
      <c r="N4" s="3"/>
      <c r="O4" s="3"/>
    </row>
    <row r="5" spans="1:15" ht="18" x14ac:dyDescent="0.35">
      <c r="A5" s="39" t="s">
        <v>20</v>
      </c>
      <c r="B5" s="40">
        <f>УМОВА_ЛИНЕЙН!H3</f>
        <v>4</v>
      </c>
      <c r="C5" s="36"/>
      <c r="D5" s="42">
        <f>УМОВА_ЛИНЕЙН!J5</f>
        <v>0.63191821655395319</v>
      </c>
      <c r="E5" s="42">
        <f>УМОВА_ЛИНЕЙН!K5</f>
        <v>0.29237290142328021</v>
      </c>
      <c r="F5" s="41"/>
      <c r="G5" s="42">
        <f>УМОВА_ЛИНЕЙН!M5</f>
        <v>13.70756327005514</v>
      </c>
      <c r="H5" s="38"/>
      <c r="I5" s="50"/>
      <c r="J5" s="50"/>
      <c r="K5" s="50"/>
      <c r="L5" s="38"/>
      <c r="M5" s="38"/>
      <c r="N5" s="3"/>
      <c r="O5" s="3"/>
    </row>
    <row r="6" spans="1:15" x14ac:dyDescent="0.4">
      <c r="A6" s="36"/>
      <c r="B6" s="36"/>
      <c r="C6" s="36"/>
      <c r="D6" s="36"/>
      <c r="E6" s="36"/>
      <c r="F6" s="36"/>
      <c r="G6" s="37"/>
      <c r="H6" s="38"/>
      <c r="M6" s="38"/>
      <c r="N6" s="3"/>
      <c r="O6" s="3"/>
    </row>
    <row r="7" spans="1:15" x14ac:dyDescent="0.4">
      <c r="A7" s="72"/>
      <c r="B7" s="72"/>
      <c r="C7" s="72"/>
      <c r="D7" s="72"/>
      <c r="E7" s="36"/>
      <c r="F7" s="36"/>
      <c r="G7" s="38"/>
      <c r="H7" s="38"/>
      <c r="M7" s="38"/>
      <c r="N7" s="3"/>
      <c r="O7" s="3"/>
    </row>
    <row r="8" spans="1:15" ht="15.6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"/>
      <c r="O8" s="3"/>
    </row>
    <row r="9" spans="1:15" ht="15.6" x14ac:dyDescent="0.3">
      <c r="A9" s="43"/>
      <c r="B9" s="38"/>
      <c r="C9" s="38"/>
      <c r="D9" s="38"/>
      <c r="E9" s="38"/>
      <c r="F9" s="38"/>
      <c r="G9" s="38"/>
      <c r="H9" s="38"/>
      <c r="I9" s="65"/>
      <c r="J9" s="65"/>
      <c r="K9" s="38"/>
      <c r="L9" s="38"/>
      <c r="M9" s="38"/>
      <c r="N9" s="3"/>
      <c r="O9" s="3"/>
    </row>
    <row r="10" spans="1:15" ht="15.6" x14ac:dyDescent="0.3">
      <c r="A10" s="38"/>
      <c r="B10" s="44"/>
      <c r="C10" s="44"/>
      <c r="D10" s="44"/>
      <c r="E10" s="38"/>
      <c r="F10" s="45" t="s">
        <v>28</v>
      </c>
      <c r="G10" s="44"/>
      <c r="H10" s="46" t="s">
        <v>29</v>
      </c>
      <c r="I10" s="47" t="s">
        <v>7</v>
      </c>
      <c r="J10" s="47" t="s">
        <v>8</v>
      </c>
      <c r="K10" s="44"/>
      <c r="L10" s="38"/>
      <c r="M10" s="38"/>
      <c r="N10" s="3"/>
      <c r="O10" s="3"/>
    </row>
    <row r="11" spans="1:15" ht="15.6" x14ac:dyDescent="0.3">
      <c r="A11" s="38"/>
      <c r="B11" s="38"/>
      <c r="C11" s="38"/>
      <c r="D11" s="38"/>
      <c r="E11" s="48"/>
      <c r="F11" s="53">
        <f>B4*I11+B5*J11</f>
        <v>60196</v>
      </c>
      <c r="G11" s="48"/>
      <c r="H11" s="41">
        <f>G5*I11^E5*J11^D5</f>
        <v>68501.105980435677</v>
      </c>
      <c r="I11" s="41">
        <v>9520</v>
      </c>
      <c r="J11" s="41">
        <v>10289</v>
      </c>
      <c r="K11" s="38"/>
      <c r="L11" s="38"/>
      <c r="M11" s="38"/>
      <c r="N11" s="3"/>
      <c r="O11" s="3"/>
    </row>
    <row r="12" spans="1:15" ht="15.6" x14ac:dyDescent="0.3">
      <c r="A12" s="38"/>
      <c r="B12" s="38"/>
      <c r="C12" s="38"/>
      <c r="D12" s="38"/>
      <c r="E12" s="48"/>
      <c r="F12" s="48"/>
      <c r="G12" s="48"/>
      <c r="H12" s="38"/>
      <c r="I12" s="38"/>
      <c r="J12" s="38"/>
      <c r="K12" s="38"/>
      <c r="L12" s="38"/>
      <c r="M12" s="38"/>
      <c r="N12" s="3"/>
      <c r="O12" s="3"/>
    </row>
    <row r="13" spans="1:15" ht="15.6" x14ac:dyDescent="0.3">
      <c r="A13" s="38"/>
      <c r="B13" s="38"/>
      <c r="C13" s="38"/>
      <c r="D13" s="38"/>
      <c r="E13" s="48"/>
      <c r="F13" s="54"/>
      <c r="G13" s="48"/>
      <c r="H13" s="38"/>
      <c r="I13" s="38"/>
      <c r="J13" s="38"/>
      <c r="K13" s="38"/>
      <c r="L13" s="38"/>
      <c r="M13" s="38"/>
      <c r="N13" s="3"/>
      <c r="O13" s="3"/>
    </row>
    <row r="14" spans="1:15" ht="15.6" x14ac:dyDescent="0.3">
      <c r="A14" s="38"/>
      <c r="B14" s="38"/>
      <c r="C14" s="38"/>
      <c r="D14" s="38"/>
      <c r="E14" s="48"/>
      <c r="F14" s="48"/>
      <c r="G14" s="48"/>
      <c r="H14" s="38"/>
      <c r="I14" s="38"/>
      <c r="J14" s="38"/>
      <c r="K14" s="38"/>
      <c r="L14" s="38"/>
      <c r="M14" s="38"/>
      <c r="N14" s="3"/>
      <c r="O14" s="3"/>
    </row>
    <row r="15" spans="1:15" ht="15.6" x14ac:dyDescent="0.3">
      <c r="A15" s="3"/>
      <c r="B15" s="3"/>
      <c r="C15" s="3"/>
      <c r="D15" s="3"/>
      <c r="E15" s="10"/>
      <c r="F15" s="10"/>
      <c r="G15" s="10"/>
      <c r="H15" s="3"/>
      <c r="I15" s="3"/>
      <c r="J15" s="3"/>
      <c r="K15" s="3"/>
      <c r="L15" s="3"/>
      <c r="M15" s="3"/>
      <c r="N15" s="3"/>
      <c r="O15" s="3"/>
    </row>
    <row r="16" spans="1:15" ht="15.6" x14ac:dyDescent="0.3">
      <c r="A16" s="3"/>
      <c r="B16" s="3"/>
      <c r="C16" s="3"/>
      <c r="D16" s="3"/>
      <c r="E16" s="10"/>
      <c r="F16" s="10"/>
      <c r="G16" s="10"/>
      <c r="H16" s="3"/>
      <c r="I16" s="3"/>
      <c r="J16" s="3"/>
      <c r="K16" s="3"/>
      <c r="L16" s="3"/>
      <c r="M16" s="3"/>
      <c r="N16" s="3"/>
      <c r="O16" s="3"/>
    </row>
    <row r="17" spans="1:15" ht="15.6" x14ac:dyDescent="0.3">
      <c r="A17" s="3"/>
      <c r="B17" s="3"/>
      <c r="C17" s="3"/>
      <c r="D17" s="3"/>
      <c r="E17" s="10"/>
      <c r="F17" s="10"/>
      <c r="G17" s="10"/>
      <c r="H17" s="3"/>
      <c r="I17" s="3"/>
      <c r="J17" s="3"/>
      <c r="K17" s="3"/>
      <c r="L17" s="3"/>
      <c r="M17" s="3"/>
      <c r="N17" s="3"/>
      <c r="O17" s="3"/>
    </row>
    <row r="18" spans="1:15" ht="15.6" x14ac:dyDescent="0.3">
      <c r="A18" s="3"/>
      <c r="B18" s="3"/>
      <c r="C18" s="3"/>
      <c r="D18" s="3"/>
      <c r="E18" s="10"/>
      <c r="F18" s="10"/>
      <c r="G18" s="10"/>
      <c r="H18" s="3"/>
      <c r="I18" s="3"/>
      <c r="J18" s="3"/>
      <c r="K18" s="3"/>
      <c r="L18" s="3"/>
      <c r="M18" s="3"/>
      <c r="N18" s="3"/>
      <c r="O18" s="3"/>
    </row>
    <row r="19" spans="1:15" ht="15.6" x14ac:dyDescent="0.3">
      <c r="A19" s="3"/>
      <c r="B19" s="3"/>
      <c r="C19" s="3"/>
      <c r="D19" s="3"/>
      <c r="E19" s="10"/>
      <c r="F19" s="10"/>
      <c r="G19" s="10"/>
      <c r="H19" s="3"/>
      <c r="I19" s="3"/>
      <c r="J19" s="3"/>
      <c r="K19" s="3"/>
      <c r="L19" s="3"/>
      <c r="M19" s="3"/>
      <c r="N19" s="3"/>
      <c r="O19" s="3"/>
    </row>
    <row r="20" spans="1:15" ht="15.6" x14ac:dyDescent="0.3">
      <c r="A20" s="3"/>
      <c r="B20" s="3"/>
      <c r="C20" s="3"/>
      <c r="D20" s="3"/>
      <c r="E20" s="10"/>
      <c r="F20" s="10"/>
      <c r="G20" s="10"/>
      <c r="H20" s="3"/>
      <c r="I20" s="3"/>
      <c r="J20" s="3"/>
      <c r="K20" s="3"/>
      <c r="L20" s="3"/>
      <c r="M20" s="3"/>
      <c r="N20" s="3"/>
      <c r="O20" s="3"/>
    </row>
    <row r="21" spans="1:15" ht="15.6" x14ac:dyDescent="0.3">
      <c r="A21" s="3"/>
      <c r="B21" s="3"/>
      <c r="C21" s="3"/>
      <c r="D21" s="3"/>
      <c r="E21" s="3"/>
      <c r="F21" s="3"/>
      <c r="G21" s="10"/>
      <c r="H21" s="3"/>
      <c r="I21" s="3"/>
      <c r="J21" s="3"/>
      <c r="K21" s="3"/>
      <c r="L21" s="3"/>
      <c r="M21" s="3"/>
      <c r="N21" s="3"/>
      <c r="O21" s="3"/>
    </row>
  </sheetData>
  <mergeCells count="2">
    <mergeCell ref="A1:E1"/>
    <mergeCell ref="I9:J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tabSelected="1" workbookViewId="0">
      <selection activeCell="N18" sqref="N18"/>
    </sheetView>
  </sheetViews>
  <sheetFormatPr defaultRowHeight="21" x14ac:dyDescent="0.4"/>
  <cols>
    <col min="1" max="1" width="8.77734375" style="2" customWidth="1"/>
    <col min="2" max="2" width="12.33203125" style="2" bestFit="1" customWidth="1"/>
    <col min="3" max="3" width="5.5546875" style="2" customWidth="1"/>
    <col min="4" max="4" width="10.21875" style="2" customWidth="1"/>
    <col min="5" max="5" width="10" style="2" customWidth="1"/>
    <col min="6" max="6" width="16.6640625" style="2" customWidth="1"/>
    <col min="7" max="7" width="8.5546875" style="2" customWidth="1"/>
    <col min="8" max="8" width="14.5546875" style="2" customWidth="1"/>
    <col min="9" max="9" width="11.5546875" style="2" customWidth="1"/>
    <col min="10" max="10" width="11.21875" style="2" customWidth="1"/>
    <col min="11" max="11" width="11.77734375" style="2" customWidth="1"/>
    <col min="12" max="12" width="9.21875" style="2"/>
  </cols>
  <sheetData>
    <row r="1" spans="1:15" ht="25.8" x14ac:dyDescent="0.35">
      <c r="A1" s="64" t="s">
        <v>25</v>
      </c>
      <c r="B1" s="64"/>
      <c r="C1" s="64"/>
      <c r="D1" s="64"/>
      <c r="E1" s="64"/>
      <c r="F1" s="36"/>
      <c r="G1" s="37"/>
      <c r="H1" s="38"/>
      <c r="I1" s="71"/>
      <c r="J1" s="71"/>
      <c r="K1" s="38"/>
      <c r="L1" s="3"/>
      <c r="M1" s="3"/>
      <c r="N1" s="3"/>
      <c r="O1" s="3"/>
    </row>
    <row r="2" spans="1:15" x14ac:dyDescent="0.4">
      <c r="A2" s="36"/>
      <c r="B2" s="36"/>
      <c r="C2" s="36"/>
      <c r="D2" s="36"/>
      <c r="E2" s="36"/>
      <c r="F2" s="36"/>
      <c r="G2" s="37"/>
      <c r="H2" s="38"/>
      <c r="I2" s="71"/>
      <c r="J2" s="71"/>
      <c r="M2" s="3"/>
      <c r="N2" s="3"/>
      <c r="O2" s="3"/>
    </row>
    <row r="3" spans="1:15" ht="18" x14ac:dyDescent="0.35">
      <c r="A3" s="39" t="s">
        <v>11</v>
      </c>
      <c r="B3" s="40">
        <f>УМОВА_ЛИНЕЙН!H5</f>
        <v>87000</v>
      </c>
      <c r="C3" s="36"/>
      <c r="D3" s="36"/>
      <c r="E3" s="36"/>
      <c r="F3" s="36"/>
      <c r="G3" s="37"/>
      <c r="H3" s="38"/>
      <c r="I3" s="71"/>
      <c r="J3" s="71"/>
      <c r="K3" s="38"/>
      <c r="L3" s="3"/>
      <c r="M3" s="3"/>
      <c r="N3" s="3"/>
      <c r="O3" s="3"/>
    </row>
    <row r="4" spans="1:15" ht="18" x14ac:dyDescent="0.35">
      <c r="A4" s="39" t="s">
        <v>19</v>
      </c>
      <c r="B4" s="40">
        <f>УМОВА_ЛИНЕЙН!H2</f>
        <v>2</v>
      </c>
      <c r="C4" s="36"/>
      <c r="D4" s="41" t="s">
        <v>12</v>
      </c>
      <c r="E4" s="41" t="s">
        <v>16</v>
      </c>
      <c r="F4" s="41"/>
      <c r="G4" s="41" t="s">
        <v>3</v>
      </c>
      <c r="H4" s="38"/>
      <c r="I4" s="71"/>
      <c r="J4" s="71"/>
      <c r="K4" s="38"/>
      <c r="L4" s="3"/>
      <c r="M4" s="3"/>
      <c r="N4" s="3"/>
      <c r="O4" s="3"/>
    </row>
    <row r="5" spans="1:15" ht="15.6" x14ac:dyDescent="0.3">
      <c r="A5" s="39" t="s">
        <v>20</v>
      </c>
      <c r="B5" s="40">
        <f>УМОВА_ЛИНЕЙН!H3</f>
        <v>4</v>
      </c>
      <c r="C5" s="36"/>
      <c r="D5" s="42">
        <f>УМОВА_ЛИНЕЙН!J5</f>
        <v>0.63191821655395319</v>
      </c>
      <c r="E5" s="42">
        <f>УМОВА_ЛИНЕЙН!K5</f>
        <v>0.29237290142328021</v>
      </c>
      <c r="F5" s="41"/>
      <c r="G5" s="42">
        <f>УМОВА_ЛИНЕЙН!M5</f>
        <v>13.70756327005514</v>
      </c>
      <c r="H5" s="38"/>
      <c r="I5" s="38"/>
      <c r="J5" s="38"/>
      <c r="K5" s="38"/>
      <c r="L5" s="3"/>
      <c r="M5" s="3"/>
      <c r="N5" s="3"/>
      <c r="O5" s="3"/>
    </row>
    <row r="6" spans="1:15" x14ac:dyDescent="0.4">
      <c r="A6" s="36"/>
      <c r="B6" s="36"/>
      <c r="C6" s="36"/>
      <c r="D6" s="36"/>
      <c r="E6" s="36"/>
      <c r="F6" s="36"/>
      <c r="G6" s="37"/>
      <c r="H6" s="38"/>
      <c r="M6" s="3"/>
      <c r="N6" s="3"/>
      <c r="O6" s="3"/>
    </row>
    <row r="7" spans="1:15" x14ac:dyDescent="0.4">
      <c r="A7" s="72"/>
      <c r="B7" s="72"/>
      <c r="C7" s="72"/>
      <c r="D7" s="72"/>
      <c r="E7" s="36"/>
      <c r="F7" s="36"/>
      <c r="G7" s="38"/>
      <c r="H7" s="38"/>
      <c r="M7" s="3"/>
      <c r="N7" s="3"/>
      <c r="O7" s="3"/>
    </row>
    <row r="8" spans="1:15" ht="15.6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"/>
      <c r="M8" s="3"/>
      <c r="N8" s="3"/>
      <c r="O8" s="3"/>
    </row>
    <row r="9" spans="1:15" ht="15.6" x14ac:dyDescent="0.3">
      <c r="A9" s="43"/>
      <c r="B9" s="38"/>
      <c r="C9" s="38"/>
      <c r="D9" s="38"/>
      <c r="E9" s="38"/>
      <c r="F9" s="38"/>
      <c r="G9" s="38"/>
      <c r="H9" s="38"/>
      <c r="I9" s="65" t="s">
        <v>31</v>
      </c>
      <c r="J9" s="65"/>
      <c r="K9" s="38"/>
      <c r="L9" s="3"/>
      <c r="M9" s="3"/>
      <c r="N9" s="3"/>
      <c r="O9" s="3"/>
    </row>
    <row r="10" spans="1:15" ht="15.6" x14ac:dyDescent="0.3">
      <c r="A10" s="38"/>
      <c r="B10" s="44"/>
      <c r="C10" s="44"/>
      <c r="D10" s="44"/>
      <c r="E10" s="38"/>
      <c r="F10" s="45" t="s">
        <v>24</v>
      </c>
      <c r="G10" s="44"/>
      <c r="H10" s="46" t="s">
        <v>26</v>
      </c>
      <c r="I10" s="47" t="s">
        <v>7</v>
      </c>
      <c r="J10" s="47" t="s">
        <v>8</v>
      </c>
      <c r="K10" s="44"/>
      <c r="L10" s="3"/>
      <c r="M10" s="3"/>
      <c r="N10" s="3"/>
      <c r="O10" s="3"/>
    </row>
    <row r="11" spans="1:15" ht="15.6" x14ac:dyDescent="0.3">
      <c r="A11" s="38"/>
      <c r="B11" s="38"/>
      <c r="C11" s="38"/>
      <c r="D11" s="38"/>
      <c r="E11" s="48"/>
      <c r="F11" s="55">
        <f>G5*I11^E5*J11^D5</f>
        <v>96280.745572025451</v>
      </c>
      <c r="G11" s="48"/>
      <c r="H11" s="49">
        <f>B4*I11+B5*J11</f>
        <v>87000</v>
      </c>
      <c r="I11" s="41">
        <v>13760</v>
      </c>
      <c r="J11" s="41">
        <v>14870</v>
      </c>
      <c r="K11" s="38"/>
      <c r="L11" s="3"/>
      <c r="M11" s="3"/>
      <c r="N11" s="3"/>
      <c r="O11" s="3"/>
    </row>
    <row r="12" spans="1:15" ht="15.6" x14ac:dyDescent="0.3">
      <c r="A12" s="38"/>
      <c r="B12" s="38"/>
      <c r="C12" s="38"/>
      <c r="D12" s="38"/>
      <c r="E12" s="48"/>
      <c r="F12" s="48"/>
      <c r="G12" s="48"/>
      <c r="H12" s="38"/>
      <c r="I12" s="38"/>
      <c r="J12" s="38"/>
      <c r="K12" s="38"/>
      <c r="L12" s="3"/>
      <c r="M12" s="3"/>
      <c r="N12" s="3"/>
      <c r="O12" s="3"/>
    </row>
    <row r="13" spans="1:15" ht="15.6" x14ac:dyDescent="0.3">
      <c r="A13" s="38"/>
      <c r="B13" s="38"/>
      <c r="C13" s="38"/>
      <c r="D13" s="38"/>
      <c r="E13" s="48"/>
      <c r="F13" s="48"/>
      <c r="G13" s="48"/>
      <c r="H13" s="48"/>
      <c r="I13" s="38"/>
      <c r="J13" s="38"/>
      <c r="K13" s="38"/>
      <c r="L13" s="3"/>
      <c r="M13" s="3"/>
      <c r="N13" s="3"/>
      <c r="O13" s="3"/>
    </row>
    <row r="14" spans="1:15" ht="15.6" x14ac:dyDescent="0.3">
      <c r="A14" s="38"/>
      <c r="B14" s="38"/>
      <c r="C14" s="38"/>
      <c r="D14" s="38"/>
      <c r="E14" s="48"/>
      <c r="F14" s="48"/>
      <c r="G14" s="48"/>
      <c r="H14" s="38"/>
      <c r="I14" s="38"/>
      <c r="J14" s="38"/>
      <c r="K14" s="38"/>
      <c r="L14" s="3"/>
      <c r="M14" s="3"/>
      <c r="N14" s="3"/>
      <c r="O14" s="3"/>
    </row>
    <row r="15" spans="1:15" ht="15.6" x14ac:dyDescent="0.3">
      <c r="A15" s="3"/>
      <c r="B15" s="3"/>
      <c r="C15" s="3"/>
      <c r="D15" s="3"/>
      <c r="E15" s="10"/>
      <c r="F15" s="10"/>
      <c r="G15" s="10"/>
      <c r="H15" s="3"/>
      <c r="I15" s="3"/>
      <c r="J15" s="3"/>
      <c r="K15" s="3"/>
      <c r="L15" s="3"/>
      <c r="M15" s="3"/>
      <c r="N15" s="3"/>
      <c r="O15" s="3"/>
    </row>
    <row r="16" spans="1:15" ht="15.6" x14ac:dyDescent="0.3">
      <c r="A16" s="3"/>
      <c r="B16" s="3"/>
      <c r="C16" s="3"/>
      <c r="D16" s="3"/>
      <c r="E16" s="10"/>
      <c r="F16" s="10"/>
      <c r="G16" s="10"/>
      <c r="H16" s="3"/>
      <c r="I16" s="3"/>
      <c r="J16" s="3"/>
      <c r="K16" s="3"/>
      <c r="L16" s="3"/>
      <c r="M16" s="3"/>
      <c r="N16" s="3"/>
      <c r="O16" s="3"/>
    </row>
    <row r="17" spans="1:15" ht="15.6" x14ac:dyDescent="0.3">
      <c r="A17" s="3"/>
      <c r="B17" s="3"/>
      <c r="C17" s="3"/>
      <c r="D17" s="3"/>
      <c r="E17" s="10"/>
      <c r="F17" s="10"/>
      <c r="G17" s="10"/>
      <c r="H17" s="3"/>
      <c r="I17" s="3"/>
      <c r="J17" s="3"/>
      <c r="K17" s="3"/>
      <c r="L17" s="3"/>
      <c r="M17" s="3"/>
      <c r="N17" s="3"/>
      <c r="O17" s="3"/>
    </row>
    <row r="18" spans="1:15" ht="15.6" x14ac:dyDescent="0.3">
      <c r="A18" s="3"/>
      <c r="B18" s="3"/>
      <c r="C18" s="3"/>
      <c r="D18" s="3"/>
      <c r="E18" s="10"/>
      <c r="F18" s="10"/>
      <c r="G18" s="10"/>
      <c r="H18" s="3"/>
      <c r="I18" s="3"/>
      <c r="J18" s="3"/>
      <c r="K18" s="3"/>
      <c r="L18" s="3"/>
      <c r="M18" s="3"/>
      <c r="N18" s="3"/>
      <c r="O18" s="3"/>
    </row>
    <row r="19" spans="1:15" ht="15.6" x14ac:dyDescent="0.3">
      <c r="A19" s="3"/>
      <c r="B19" s="3"/>
      <c r="C19" s="3"/>
      <c r="D19" s="3"/>
      <c r="E19" s="10"/>
      <c r="F19" s="10"/>
      <c r="G19" s="10"/>
      <c r="H19" s="3"/>
      <c r="I19" s="3"/>
      <c r="J19" s="3"/>
      <c r="K19" s="3"/>
      <c r="L19" s="3"/>
      <c r="M19" s="3"/>
      <c r="N19" s="3"/>
      <c r="O19" s="3"/>
    </row>
    <row r="20" spans="1:15" ht="15.6" x14ac:dyDescent="0.3">
      <c r="A20" s="3"/>
      <c r="B20" s="3"/>
      <c r="C20" s="3"/>
      <c r="D20" s="3"/>
      <c r="E20" s="10"/>
      <c r="F20" s="10"/>
      <c r="G20" s="10"/>
      <c r="H20" s="3"/>
      <c r="I20" s="3"/>
      <c r="J20" s="3"/>
      <c r="K20" s="3"/>
      <c r="L20" s="3"/>
      <c r="M20" s="3"/>
      <c r="N20" s="3"/>
      <c r="O20" s="3"/>
    </row>
    <row r="21" spans="1:15" ht="15.6" x14ac:dyDescent="0.3">
      <c r="A21" s="3"/>
      <c r="B21" s="3"/>
      <c r="C21" s="3"/>
      <c r="D21" s="3"/>
      <c r="E21" s="3"/>
      <c r="F21" s="3"/>
      <c r="G21" s="10"/>
      <c r="H21" s="3"/>
      <c r="I21" s="3"/>
      <c r="J21" s="3"/>
      <c r="K21" s="3"/>
      <c r="L21" s="3"/>
      <c r="M21" s="3"/>
      <c r="N21" s="3"/>
      <c r="O21" s="3"/>
    </row>
  </sheetData>
  <mergeCells count="2">
    <mergeCell ref="A1:E1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УМОВА_ЛИНЕЙН</vt:lpstr>
      <vt:lpstr>MAX_profit_short</vt:lpstr>
      <vt:lpstr>MIN_costs</vt:lpstr>
      <vt:lpstr>MAX_produce</vt:lpstr>
    </vt:vector>
  </TitlesOfParts>
  <Company>Ya Blondinko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Артем Вербицький</cp:lastModifiedBy>
  <dcterms:created xsi:type="dcterms:W3CDTF">2020-11-09T08:25:38Z</dcterms:created>
  <dcterms:modified xsi:type="dcterms:W3CDTF">2025-11-21T21:53:37Z</dcterms:modified>
</cp:coreProperties>
</file>